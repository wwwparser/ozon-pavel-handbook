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Павел\Downloads\"/>
    </mc:Choice>
  </mc:AlternateContent>
  <xr:revisionPtr revIDLastSave="0" documentId="8_{06D449E3-5E31-47DE-848B-F0B5DDC3AC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ИЛ">Лист1!$A$36:$A$46</definedName>
    <definedName name="Индекс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I8" i="1"/>
  <c r="I9" i="1"/>
  <c r="I10" i="1"/>
  <c r="N10" i="1" s="1"/>
  <c r="I11" i="1"/>
  <c r="N11" i="1" s="1"/>
  <c r="O11" i="1" s="1"/>
  <c r="I12" i="1"/>
  <c r="N12" i="1" s="1"/>
  <c r="I13" i="1"/>
  <c r="I14" i="1"/>
  <c r="N14" i="1" s="1"/>
  <c r="I15" i="1"/>
  <c r="I16" i="1"/>
  <c r="N16" i="1" s="1"/>
  <c r="I17" i="1"/>
  <c r="I18" i="1"/>
  <c r="N18" i="1" s="1"/>
  <c r="I19" i="1"/>
  <c r="N19" i="1" s="1"/>
  <c r="O19" i="1" s="1"/>
  <c r="I20" i="1"/>
  <c r="I21" i="1"/>
  <c r="I22" i="1"/>
  <c r="N22" i="1" s="1"/>
  <c r="I23" i="1"/>
  <c r="N23" i="1" s="1"/>
  <c r="O23" i="1" s="1"/>
  <c r="I24" i="1"/>
  <c r="N24" i="1" s="1"/>
  <c r="I25" i="1"/>
  <c r="I26" i="1"/>
  <c r="N26" i="1" s="1"/>
  <c r="I27" i="1"/>
  <c r="I28" i="1"/>
  <c r="N28" i="1" s="1"/>
  <c r="I29" i="1"/>
  <c r="I30" i="1"/>
  <c r="N30" i="1" s="1"/>
  <c r="I31" i="1"/>
  <c r="N31" i="1" s="1"/>
  <c r="O31" i="1" s="1"/>
  <c r="I32" i="1"/>
  <c r="I33" i="1"/>
  <c r="I34" i="1"/>
  <c r="N34" i="1" s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Q17" i="1"/>
  <c r="N17" i="1" s="1"/>
  <c r="O17" i="1" s="1"/>
  <c r="Q18" i="1"/>
  <c r="Q19" i="1"/>
  <c r="Q20" i="1"/>
  <c r="N20" i="1" s="1"/>
  <c r="Q21" i="1"/>
  <c r="N21" i="1" s="1"/>
  <c r="O21" i="1" s="1"/>
  <c r="Q22" i="1"/>
  <c r="Q23" i="1"/>
  <c r="Q24" i="1"/>
  <c r="Q25" i="1"/>
  <c r="N25" i="1" s="1"/>
  <c r="O25" i="1" s="1"/>
  <c r="Q26" i="1"/>
  <c r="Q27" i="1"/>
  <c r="N27" i="1" s="1"/>
  <c r="O27" i="1" s="1"/>
  <c r="Q28" i="1"/>
  <c r="Q29" i="1"/>
  <c r="N29" i="1" s="1"/>
  <c r="O29" i="1" s="1"/>
  <c r="Q30" i="1"/>
  <c r="Q31" i="1"/>
  <c r="Q32" i="1"/>
  <c r="N32" i="1" s="1"/>
  <c r="Q33" i="1"/>
  <c r="N33" i="1" s="1"/>
  <c r="O33" i="1" s="1"/>
  <c r="Q34" i="1"/>
  <c r="Q8" i="1"/>
  <c r="Q9" i="1"/>
  <c r="N9" i="1" s="1"/>
  <c r="O9" i="1" s="1"/>
  <c r="Q10" i="1"/>
  <c r="Q11" i="1"/>
  <c r="Q12" i="1"/>
  <c r="Q13" i="1"/>
  <c r="N13" i="1" s="1"/>
  <c r="O13" i="1" s="1"/>
  <c r="Q14" i="1"/>
  <c r="Q15" i="1"/>
  <c r="N15" i="1" s="1"/>
  <c r="O15" i="1" s="1"/>
  <c r="Q16" i="1"/>
  <c r="X2" i="1"/>
  <c r="L3" i="1"/>
  <c r="L4" i="1"/>
  <c r="L5" i="1"/>
  <c r="L6" i="1"/>
  <c r="L7" i="1"/>
  <c r="L2" i="1"/>
  <c r="S32" i="1" l="1"/>
  <c r="U32" i="1" s="1"/>
  <c r="Y32" i="1" s="1"/>
  <c r="O32" i="1"/>
  <c r="O18" i="1"/>
  <c r="S18" i="1" s="1"/>
  <c r="U18" i="1" s="1"/>
  <c r="O16" i="1"/>
  <c r="S16" i="1" s="1"/>
  <c r="U16" i="1" s="1"/>
  <c r="S30" i="1"/>
  <c r="U30" i="1" s="1"/>
  <c r="O30" i="1"/>
  <c r="O20" i="1"/>
  <c r="S20" i="1"/>
  <c r="U20" i="1" s="1"/>
  <c r="O14" i="1"/>
  <c r="S14" i="1"/>
  <c r="U14" i="1" s="1"/>
  <c r="Y14" i="1" s="1"/>
  <c r="S28" i="1"/>
  <c r="U28" i="1" s="1"/>
  <c r="Y28" i="1" s="1"/>
  <c r="O28" i="1"/>
  <c r="S26" i="1"/>
  <c r="U26" i="1" s="1"/>
  <c r="Y26" i="1" s="1"/>
  <c r="O26" i="1"/>
  <c r="O24" i="1"/>
  <c r="S24" i="1" s="1"/>
  <c r="U24" i="1" s="1"/>
  <c r="O12" i="1"/>
  <c r="S12" i="1" s="1"/>
  <c r="U12" i="1" s="1"/>
  <c r="O34" i="1"/>
  <c r="S34" i="1" s="1"/>
  <c r="U34" i="1" s="1"/>
  <c r="O22" i="1"/>
  <c r="S22" i="1" s="1"/>
  <c r="U22" i="1" s="1"/>
  <c r="S10" i="1"/>
  <c r="U10" i="1" s="1"/>
  <c r="Y10" i="1" s="1"/>
  <c r="O10" i="1"/>
  <c r="N8" i="1"/>
  <c r="O8" i="1" s="1"/>
  <c r="S8" i="1" s="1"/>
  <c r="U8" i="1" s="1"/>
  <c r="S33" i="1"/>
  <c r="S31" i="1"/>
  <c r="U31" i="1" s="1"/>
  <c r="V31" i="1" s="1"/>
  <c r="S29" i="1"/>
  <c r="U29" i="1" s="1"/>
  <c r="S27" i="1"/>
  <c r="U27" i="1" s="1"/>
  <c r="S25" i="1"/>
  <c r="S23" i="1"/>
  <c r="U23" i="1" s="1"/>
  <c r="V23" i="1" s="1"/>
  <c r="S21" i="1"/>
  <c r="U21" i="1" s="1"/>
  <c r="S19" i="1"/>
  <c r="U19" i="1" s="1"/>
  <c r="S17" i="1"/>
  <c r="U17" i="1" s="1"/>
  <c r="S15" i="1"/>
  <c r="S13" i="1"/>
  <c r="S11" i="1"/>
  <c r="S9" i="1"/>
  <c r="U33" i="1"/>
  <c r="Y33" i="1" s="1"/>
  <c r="U25" i="1"/>
  <c r="Y25" i="1" s="1"/>
  <c r="U15" i="1"/>
  <c r="U13" i="1"/>
  <c r="U11" i="1"/>
  <c r="U9" i="1"/>
  <c r="V32" i="1"/>
  <c r="Y30" i="1"/>
  <c r="V30" i="1"/>
  <c r="V26" i="1"/>
  <c r="Y20" i="1"/>
  <c r="V20" i="1"/>
  <c r="Y29" i="1" l="1"/>
  <c r="V29" i="1"/>
  <c r="Y22" i="1"/>
  <c r="V22" i="1"/>
  <c r="Y34" i="1"/>
  <c r="V34" i="1"/>
  <c r="Y12" i="1"/>
  <c r="V12" i="1"/>
  <c r="V16" i="1"/>
  <c r="Y16" i="1"/>
  <c r="Y21" i="1"/>
  <c r="V21" i="1"/>
  <c r="Y18" i="1"/>
  <c r="V18" i="1"/>
  <c r="Y24" i="1"/>
  <c r="V24" i="1"/>
  <c r="V10" i="1"/>
  <c r="V14" i="1"/>
  <c r="Z25" i="1"/>
  <c r="Z33" i="1"/>
  <c r="V28" i="1"/>
  <c r="V8" i="1"/>
  <c r="Y8" i="1"/>
  <c r="Y27" i="1"/>
  <c r="V27" i="1"/>
  <c r="V25" i="1"/>
  <c r="V33" i="1"/>
  <c r="Y23" i="1"/>
  <c r="Y31" i="1"/>
  <c r="Z27" i="1"/>
  <c r="V11" i="1"/>
  <c r="Y11" i="1"/>
  <c r="V15" i="1"/>
  <c r="Y15" i="1"/>
  <c r="V19" i="1"/>
  <c r="Y19" i="1"/>
  <c r="Y9" i="1"/>
  <c r="V9" i="1"/>
  <c r="Y13" i="1"/>
  <c r="V13" i="1"/>
  <c r="Y17" i="1"/>
  <c r="V17" i="1"/>
  <c r="Z10" i="1"/>
  <c r="Z14" i="1"/>
  <c r="Z20" i="1"/>
  <c r="Z24" i="1"/>
  <c r="Z26" i="1"/>
  <c r="Z28" i="1"/>
  <c r="Z30" i="1"/>
  <c r="Z32" i="1"/>
  <c r="Z34" i="1"/>
  <c r="Z21" i="1" l="1"/>
  <c r="Z16" i="1"/>
  <c r="Z12" i="1"/>
  <c r="Z18" i="1"/>
  <c r="Z8" i="1"/>
  <c r="Z22" i="1"/>
  <c r="Z29" i="1"/>
  <c r="Z31" i="1"/>
  <c r="Z23" i="1"/>
  <c r="Z17" i="1"/>
  <c r="Z13" i="1"/>
  <c r="Z9" i="1"/>
  <c r="Z19" i="1"/>
  <c r="Z15" i="1"/>
  <c r="Z11" i="1"/>
  <c r="E3" i="1" l="1"/>
  <c r="I3" i="1"/>
  <c r="K3" i="1"/>
  <c r="M3" i="1"/>
  <c r="Q3" i="1"/>
  <c r="X3" i="1"/>
  <c r="E4" i="1"/>
  <c r="I4" i="1"/>
  <c r="K4" i="1"/>
  <c r="M4" i="1"/>
  <c r="Q4" i="1"/>
  <c r="X4" i="1"/>
  <c r="E5" i="1"/>
  <c r="I5" i="1"/>
  <c r="K5" i="1"/>
  <c r="M5" i="1"/>
  <c r="Q5" i="1"/>
  <c r="N5" i="1" s="1"/>
  <c r="X5" i="1"/>
  <c r="E6" i="1"/>
  <c r="I6" i="1"/>
  <c r="K6" i="1"/>
  <c r="M6" i="1"/>
  <c r="Q6" i="1"/>
  <c r="X6" i="1"/>
  <c r="E7" i="1"/>
  <c r="I7" i="1"/>
  <c r="K7" i="1"/>
  <c r="Q7" i="1"/>
  <c r="N7" i="1" s="1"/>
  <c r="X7" i="1"/>
  <c r="E2" i="1"/>
  <c r="Q2" i="1"/>
  <c r="M2" i="1"/>
  <c r="K2" i="1"/>
  <c r="I2" i="1"/>
  <c r="N4" i="1" l="1"/>
  <c r="O4" i="1" s="1"/>
  <c r="N3" i="1"/>
  <c r="N6" i="1"/>
  <c r="O7" i="1"/>
  <c r="S7" i="1" s="1"/>
  <c r="O5" i="1"/>
  <c r="O3" i="1"/>
  <c r="N2" i="1"/>
  <c r="U7" i="1" l="1"/>
  <c r="Y7" i="1" s="1"/>
  <c r="S5" i="1"/>
  <c r="U5" i="1" s="1"/>
  <c r="O6" i="1"/>
  <c r="S4" i="1"/>
  <c r="U4" i="1" s="1"/>
  <c r="S3" i="1"/>
  <c r="U3" i="1" s="1"/>
  <c r="O2" i="1"/>
  <c r="S2" i="1" s="1"/>
  <c r="U2" i="1" s="1"/>
  <c r="V2" i="1" s="1"/>
  <c r="V7" i="1" l="1"/>
  <c r="Y5" i="1"/>
  <c r="V5" i="1"/>
  <c r="S6" i="1"/>
  <c r="U6" i="1" s="1"/>
  <c r="Y4" i="1"/>
  <c r="V4" i="1"/>
  <c r="V3" i="1"/>
  <c r="Y3" i="1"/>
  <c r="Y2" i="1"/>
  <c r="Z7" i="1"/>
  <c r="Z5" i="1"/>
  <c r="Z3" i="1" l="1"/>
  <c r="Z4" i="1"/>
  <c r="V6" i="1"/>
  <c r="Y6" i="1"/>
  <c r="Z2" i="1"/>
  <c r="Z6" i="1" l="1"/>
</calcChain>
</file>

<file path=xl/sharedStrings.xml><?xml version="1.0" encoding="utf-8"?>
<sst xmlns="http://schemas.openxmlformats.org/spreadsheetml/2006/main" count="79" uniqueCount="44">
  <si>
    <t>Наименование</t>
  </si>
  <si>
    <t>Цена в ЛК</t>
  </si>
  <si>
    <t>Себестоимость</t>
  </si>
  <si>
    <t>Доп. Расходы</t>
  </si>
  <si>
    <t>Цена до склада</t>
  </si>
  <si>
    <t>Эквайринг</t>
  </si>
  <si>
    <t>Комиссия (%)</t>
  </si>
  <si>
    <t>Комиссия (руб)</t>
  </si>
  <si>
    <t>Последняя миля</t>
  </si>
  <si>
    <t>% выкупа</t>
  </si>
  <si>
    <t>Обратная логистика</t>
  </si>
  <si>
    <t>Индекс локализации</t>
  </si>
  <si>
    <t>Итоговая логистика</t>
  </si>
  <si>
    <t>0-29%</t>
  </si>
  <si>
    <t>30-34%</t>
  </si>
  <si>
    <t>35-39%</t>
  </si>
  <si>
    <t>40-59%</t>
  </si>
  <si>
    <t>60-64%</t>
  </si>
  <si>
    <t>65-74%</t>
  </si>
  <si>
    <t>75-79%</t>
  </si>
  <si>
    <t>80-84%</t>
  </si>
  <si>
    <t>85-89%</t>
  </si>
  <si>
    <t>90-94%</t>
  </si>
  <si>
    <t>95% &gt;</t>
  </si>
  <si>
    <t>кэф</t>
  </si>
  <si>
    <t>ДРР</t>
  </si>
  <si>
    <t>Длина (см)</t>
  </si>
  <si>
    <t>Ширина (см)</t>
  </si>
  <si>
    <t>Высота (см)</t>
  </si>
  <si>
    <t>Объем товара (л)</t>
  </si>
  <si>
    <t>Всего удержаний OZON</t>
  </si>
  <si>
    <t>% Удержаний</t>
  </si>
  <si>
    <t>Налог (%)</t>
  </si>
  <si>
    <t>Налог (руб)</t>
  </si>
  <si>
    <t>Прибыль на 1 ед.</t>
  </si>
  <si>
    <t>Рентабельность</t>
  </si>
  <si>
    <t>Тариф логистики</t>
  </si>
  <si>
    <t>Чехол</t>
  </si>
  <si>
    <t>шаровары</t>
  </si>
  <si>
    <t>аирподс</t>
  </si>
  <si>
    <t>тазик</t>
  </si>
  <si>
    <t>клюшки</t>
  </si>
  <si>
    <t>ведро</t>
  </si>
  <si>
    <t>лабубу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</si>
</sst>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theme="1"/>
      <name val="Bahnschrift"/>
      <family val="2"/>
      <charset val="204"/>
    </font>
    <font>
      <sz val="9"/>
      <color theme="0"/>
      <name val="Bahnschrift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9" fontId="0" fillId="0" borderId="0" xfId="2" applyFont="1"/>
    <xf numFmtId="2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4" borderId="1" xfId="0" applyFill="1" applyBorder="1"/>
    <xf numFmtId="0" fontId="0" fillId="2" borderId="1" xfId="0" applyFill="1" applyBorder="1"/>
    <xf numFmtId="44" fontId="0" fillId="2" borderId="1" xfId="1" applyFont="1" applyFill="1" applyBorder="1"/>
    <xf numFmtId="0" fontId="2" fillId="6" borderId="1" xfId="0" applyFont="1" applyFill="1" applyBorder="1"/>
    <xf numFmtId="44" fontId="2" fillId="6" borderId="1" xfId="1" applyFont="1" applyFill="1" applyBorder="1"/>
    <xf numFmtId="9" fontId="2" fillId="6" borderId="1" xfId="2" applyFont="1" applyFill="1" applyBorder="1"/>
    <xf numFmtId="44" fontId="2" fillId="6" borderId="1" xfId="0" applyNumberFormat="1" applyFont="1" applyFill="1" applyBorder="1"/>
    <xf numFmtId="44" fontId="2" fillId="5" borderId="1" xfId="0" applyNumberFormat="1" applyFont="1" applyFill="1" applyBorder="1"/>
    <xf numFmtId="44" fontId="2" fillId="7" borderId="1" xfId="0" applyNumberFormat="1" applyFont="1" applyFill="1" applyBorder="1"/>
    <xf numFmtId="9" fontId="2" fillId="7" borderId="1" xfId="2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9" fontId="4" fillId="6" borderId="1" xfId="2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44" fontId="2" fillId="3" borderId="1" xfId="1" applyFont="1" applyFill="1" applyBorder="1"/>
    <xf numFmtId="44" fontId="3" fillId="2" borderId="1" xfId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0" fillId="4" borderId="1" xfId="0" applyNumberFormat="1" applyFill="1" applyBorder="1"/>
    <xf numFmtId="9" fontId="4" fillId="5" borderId="1" xfId="2" applyFont="1" applyFill="1" applyBorder="1" applyAlignment="1">
      <alignment horizontal="center" vertical="center"/>
    </xf>
    <xf numFmtId="9" fontId="2" fillId="5" borderId="1" xfId="2" applyFont="1" applyFill="1" applyBorder="1"/>
    <xf numFmtId="0" fontId="4" fillId="7" borderId="2" xfId="0" applyFont="1" applyFill="1" applyBorder="1" applyAlignment="1">
      <alignment horizontal="center" vertical="center"/>
    </xf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"/>
  <sheetViews>
    <sheetView tabSelected="1" workbookViewId="0">
      <pane xSplit="5" topLeftCell="U1" activePane="topRight" state="frozen"/>
      <selection pane="topRight" activeCell="AC34" sqref="AC34"/>
    </sheetView>
  </sheetViews>
  <sheetFormatPr defaultRowHeight="14.4" x14ac:dyDescent="0.3"/>
  <cols>
    <col min="1" max="1" width="14.88671875" bestFit="1" customWidth="1"/>
    <col min="2" max="2" width="11" style="3" bestFit="1" customWidth="1"/>
    <col min="3" max="3" width="15.109375" style="3" bestFit="1" customWidth="1"/>
    <col min="4" max="4" width="13.6640625" style="3" bestFit="1" customWidth="1"/>
    <col min="5" max="5" width="15.33203125" style="3" bestFit="1" customWidth="1"/>
    <col min="6" max="6" width="11" style="2" bestFit="1" customWidth="1"/>
    <col min="7" max="7" width="12.5546875" style="2" bestFit="1" customWidth="1"/>
    <col min="8" max="8" width="11.5546875" style="2" bestFit="1" customWidth="1"/>
    <col min="9" max="9" width="17" bestFit="1" customWidth="1"/>
    <col min="10" max="10" width="13.33203125" style="1" bestFit="1" customWidth="1"/>
    <col min="11" max="11" width="15" bestFit="1" customWidth="1"/>
    <col min="12" max="12" width="10.44140625" bestFit="1" customWidth="1"/>
    <col min="13" max="13" width="16.109375" bestFit="1" customWidth="1"/>
    <col min="14" max="14" width="14.88671875" bestFit="1" customWidth="1"/>
    <col min="15" max="15" width="19.44140625" bestFit="1" customWidth="1"/>
    <col min="16" max="16" width="20.33203125" bestFit="1" customWidth="1"/>
    <col min="17" max="17" width="4.33203125" bestFit="1" customWidth="1"/>
    <col min="19" max="19" width="19" bestFit="1" customWidth="1"/>
    <col min="21" max="21" width="22.88671875" bestFit="1" customWidth="1"/>
    <col min="22" max="22" width="13.5546875" bestFit="1" customWidth="1"/>
    <col min="23" max="23" width="9.109375" style="1"/>
    <col min="24" max="24" width="12" bestFit="1" customWidth="1"/>
    <col min="25" max="25" width="16.6640625" bestFit="1" customWidth="1"/>
    <col min="26" max="27" width="16.88671875" bestFit="1" customWidth="1"/>
    <col min="28" max="28" width="9.33203125" bestFit="1" customWidth="1"/>
    <col min="29" max="29" width="14.44140625" bestFit="1" customWidth="1"/>
  </cols>
  <sheetData>
    <row r="1" spans="1:29" ht="27.75" customHeight="1" x14ac:dyDescent="0.3">
      <c r="A1" s="1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26</v>
      </c>
      <c r="G1" s="26" t="s">
        <v>27</v>
      </c>
      <c r="H1" s="26" t="s">
        <v>28</v>
      </c>
      <c r="I1" s="16" t="s">
        <v>29</v>
      </c>
      <c r="J1" s="17" t="s">
        <v>6</v>
      </c>
      <c r="K1" s="18" t="s">
        <v>7</v>
      </c>
      <c r="L1" s="18" t="s">
        <v>5</v>
      </c>
      <c r="M1" s="18" t="s">
        <v>8</v>
      </c>
      <c r="N1" s="18" t="s">
        <v>36</v>
      </c>
      <c r="O1" s="18" t="s">
        <v>10</v>
      </c>
      <c r="P1" s="21" t="s">
        <v>11</v>
      </c>
      <c r="Q1" s="18" t="s">
        <v>24</v>
      </c>
      <c r="R1" s="21" t="s">
        <v>9</v>
      </c>
      <c r="S1" s="23" t="s">
        <v>12</v>
      </c>
      <c r="T1" s="18" t="s">
        <v>25</v>
      </c>
      <c r="U1" s="18" t="s">
        <v>30</v>
      </c>
      <c r="V1" s="18" t="s">
        <v>31</v>
      </c>
      <c r="W1" s="28" t="s">
        <v>32</v>
      </c>
      <c r="X1" s="19" t="s">
        <v>33</v>
      </c>
      <c r="Y1" s="20" t="s">
        <v>34</v>
      </c>
      <c r="Z1" s="20" t="s">
        <v>35</v>
      </c>
      <c r="AA1" s="20"/>
      <c r="AB1" s="30"/>
      <c r="AC1" s="30"/>
    </row>
    <row r="2" spans="1:29" x14ac:dyDescent="0.3">
      <c r="A2" s="6" t="s">
        <v>38</v>
      </c>
      <c r="B2" s="7">
        <v>6700</v>
      </c>
      <c r="C2" s="7">
        <v>1300</v>
      </c>
      <c r="D2" s="7">
        <v>270</v>
      </c>
      <c r="E2" s="7">
        <f>C2+D2</f>
        <v>1570</v>
      </c>
      <c r="F2" s="27">
        <v>70</v>
      </c>
      <c r="G2" s="27">
        <v>50</v>
      </c>
      <c r="H2" s="27">
        <v>29</v>
      </c>
      <c r="I2" s="5">
        <f>(F2*G2*H2)/1000</f>
        <v>101.5</v>
      </c>
      <c r="J2" s="10">
        <v>0.13</v>
      </c>
      <c r="K2" s="9">
        <f>B2*J2</f>
        <v>871</v>
      </c>
      <c r="L2" s="9">
        <f>B2*0.01253</f>
        <v>83.950999999999993</v>
      </c>
      <c r="M2" s="9">
        <f>B2*0.055</f>
        <v>368.5</v>
      </c>
      <c r="N2" s="9">
        <f>((I2-1)*10+63)*Q2</f>
        <v>1068</v>
      </c>
      <c r="O2" s="9">
        <f>N2+15</f>
        <v>1083</v>
      </c>
      <c r="P2" s="22" t="s">
        <v>18</v>
      </c>
      <c r="Q2" s="8">
        <f>VLOOKUP(P2,$A$36:$B$46,2,0)</f>
        <v>1</v>
      </c>
      <c r="R2" s="22">
        <v>80</v>
      </c>
      <c r="S2" s="24">
        <f>((N2+O2)*(100-R2))/(100-(100-R2))+N2+M2</f>
        <v>1974.25</v>
      </c>
      <c r="T2" s="10">
        <v>0</v>
      </c>
      <c r="U2" s="11">
        <f>K2+L2+S2+(B2*T2)</f>
        <v>2929.201</v>
      </c>
      <c r="V2" s="10">
        <f>U2/B2</f>
        <v>0.43719417910447761</v>
      </c>
      <c r="W2" s="29">
        <v>0.06</v>
      </c>
      <c r="X2" s="12">
        <f>B2*W2</f>
        <v>402</v>
      </c>
      <c r="Y2" s="13">
        <f>B2-E2-U2-X2</f>
        <v>1798.799</v>
      </c>
      <c r="Z2" s="14">
        <f>Y2/B2</f>
        <v>0.26847746268656714</v>
      </c>
      <c r="AA2" s="14"/>
      <c r="AC2" s="4"/>
    </row>
    <row r="3" spans="1:29" x14ac:dyDescent="0.3">
      <c r="A3" s="6" t="s">
        <v>39</v>
      </c>
      <c r="B3" s="7">
        <v>5500</v>
      </c>
      <c r="C3" s="7">
        <v>1300</v>
      </c>
      <c r="D3" s="7">
        <v>270</v>
      </c>
      <c r="E3" s="7">
        <f t="shared" ref="E3:E8" si="0">C3+D3</f>
        <v>1570</v>
      </c>
      <c r="F3" s="27">
        <v>65</v>
      </c>
      <c r="G3" s="27">
        <v>47</v>
      </c>
      <c r="H3" s="27">
        <v>27</v>
      </c>
      <c r="I3" s="5">
        <f t="shared" ref="I3:I34" si="1">(F3*G3*H3)/1000</f>
        <v>82.484999999999999</v>
      </c>
      <c r="J3" s="10">
        <v>0.13</v>
      </c>
      <c r="K3" s="9">
        <f t="shared" ref="K3:K34" si="2">B3*J3</f>
        <v>715</v>
      </c>
      <c r="L3" s="9">
        <f t="shared" ref="L3:L34" si="3">B3*0.01253</f>
        <v>68.914999999999992</v>
      </c>
      <c r="M3" s="9">
        <f t="shared" ref="M3:M6" si="4">B3*0.055</f>
        <v>302.5</v>
      </c>
      <c r="N3" s="9">
        <f t="shared" ref="N3:N34" si="5">((I3-1)*10+63)*Q3</f>
        <v>438.92500000000001</v>
      </c>
      <c r="O3" s="9">
        <f t="shared" ref="O3:O34" si="6">N3+15</f>
        <v>453.92500000000001</v>
      </c>
      <c r="P3" s="22" t="s">
        <v>23</v>
      </c>
      <c r="Q3" s="8">
        <f t="shared" ref="Q3:Q34" si="7">VLOOKUP(P3,$A$36:$B$46,2,0)</f>
        <v>0.5</v>
      </c>
      <c r="R3" s="22">
        <v>80</v>
      </c>
      <c r="S3" s="24">
        <f t="shared" ref="S3:S34" si="8">((N3+O3)*(100-R3))/(100-(100-R3))+N3+M3</f>
        <v>964.63750000000005</v>
      </c>
      <c r="T3" s="10">
        <v>0</v>
      </c>
      <c r="U3" s="11">
        <f t="shared" ref="U3:U34" si="9">K3+L3+S3+(B3*T3)</f>
        <v>1748.5525</v>
      </c>
      <c r="V3" s="10">
        <f t="shared" ref="V3:V34" si="10">U3/B3</f>
        <v>0.31791863636363638</v>
      </c>
      <c r="W3" s="29">
        <v>0.06</v>
      </c>
      <c r="X3" s="12">
        <f t="shared" ref="X3:X34" si="11">B3*W3</f>
        <v>330</v>
      </c>
      <c r="Y3" s="13">
        <f t="shared" ref="Y3:Y34" si="12">B3-E3-U3-X3</f>
        <v>1851.4475000000002</v>
      </c>
      <c r="Z3" s="14">
        <f t="shared" ref="Z3:Z34" si="13">Y3/B3</f>
        <v>0.33662681818181822</v>
      </c>
      <c r="AA3" s="14"/>
      <c r="AC3" s="4"/>
    </row>
    <row r="4" spans="1:29" x14ac:dyDescent="0.3">
      <c r="A4" s="6" t="s">
        <v>40</v>
      </c>
      <c r="B4" s="7">
        <v>5000</v>
      </c>
      <c r="C4" s="7">
        <v>1300</v>
      </c>
      <c r="D4" s="7">
        <v>270</v>
      </c>
      <c r="E4" s="7">
        <f t="shared" si="0"/>
        <v>1570</v>
      </c>
      <c r="F4" s="27">
        <v>60</v>
      </c>
      <c r="G4" s="27">
        <v>44</v>
      </c>
      <c r="H4" s="27">
        <v>25</v>
      </c>
      <c r="I4" s="5">
        <f t="shared" si="1"/>
        <v>66</v>
      </c>
      <c r="J4" s="10">
        <v>0.13</v>
      </c>
      <c r="K4" s="9">
        <f t="shared" si="2"/>
        <v>650</v>
      </c>
      <c r="L4" s="9">
        <f t="shared" si="3"/>
        <v>62.65</v>
      </c>
      <c r="M4" s="9">
        <f t="shared" si="4"/>
        <v>275</v>
      </c>
      <c r="N4" s="9">
        <f t="shared" si="5"/>
        <v>356.5</v>
      </c>
      <c r="O4" s="9">
        <f t="shared" si="6"/>
        <v>371.5</v>
      </c>
      <c r="P4" s="22" t="s">
        <v>23</v>
      </c>
      <c r="Q4" s="8">
        <f t="shared" si="7"/>
        <v>0.5</v>
      </c>
      <c r="R4" s="22">
        <v>80</v>
      </c>
      <c r="S4" s="24">
        <f t="shared" si="8"/>
        <v>813.5</v>
      </c>
      <c r="T4" s="10">
        <v>0</v>
      </c>
      <c r="U4" s="11">
        <f t="shared" si="9"/>
        <v>1526.15</v>
      </c>
      <c r="V4" s="10">
        <f t="shared" si="10"/>
        <v>0.30523</v>
      </c>
      <c r="W4" s="29">
        <v>0.06</v>
      </c>
      <c r="X4" s="12">
        <f t="shared" si="11"/>
        <v>300</v>
      </c>
      <c r="Y4" s="13">
        <f t="shared" si="12"/>
        <v>1603.85</v>
      </c>
      <c r="Z4" s="14">
        <f t="shared" si="13"/>
        <v>0.32077</v>
      </c>
      <c r="AA4" s="14"/>
      <c r="AC4" s="4"/>
    </row>
    <row r="5" spans="1:29" x14ac:dyDescent="0.3">
      <c r="A5" s="6" t="s">
        <v>41</v>
      </c>
      <c r="B5" s="7">
        <v>4700</v>
      </c>
      <c r="C5" s="7">
        <v>1300</v>
      </c>
      <c r="D5" s="7">
        <v>270</v>
      </c>
      <c r="E5" s="7">
        <f t="shared" si="0"/>
        <v>1570</v>
      </c>
      <c r="F5" s="27">
        <v>56</v>
      </c>
      <c r="G5" s="27">
        <v>42</v>
      </c>
      <c r="H5" s="27">
        <v>24</v>
      </c>
      <c r="I5" s="5">
        <f t="shared" si="1"/>
        <v>56.448</v>
      </c>
      <c r="J5" s="10">
        <v>0.13</v>
      </c>
      <c r="K5" s="9">
        <f t="shared" si="2"/>
        <v>611</v>
      </c>
      <c r="L5" s="9">
        <f t="shared" si="3"/>
        <v>58.890999999999998</v>
      </c>
      <c r="M5" s="9">
        <f t="shared" si="4"/>
        <v>258.5</v>
      </c>
      <c r="N5" s="9">
        <f t="shared" si="5"/>
        <v>308.74</v>
      </c>
      <c r="O5" s="9">
        <f t="shared" si="6"/>
        <v>323.74</v>
      </c>
      <c r="P5" s="22" t="s">
        <v>23</v>
      </c>
      <c r="Q5" s="8">
        <f t="shared" si="7"/>
        <v>0.5</v>
      </c>
      <c r="R5" s="22">
        <v>80</v>
      </c>
      <c r="S5" s="24">
        <f t="shared" si="8"/>
        <v>725.36</v>
      </c>
      <c r="T5" s="10">
        <v>0</v>
      </c>
      <c r="U5" s="11">
        <f t="shared" si="9"/>
        <v>1395.251</v>
      </c>
      <c r="V5" s="10">
        <f t="shared" si="10"/>
        <v>0.29686191489361702</v>
      </c>
      <c r="W5" s="29">
        <v>0.06</v>
      </c>
      <c r="X5" s="12">
        <f t="shared" si="11"/>
        <v>282</v>
      </c>
      <c r="Y5" s="13">
        <f t="shared" si="12"/>
        <v>1452.749</v>
      </c>
      <c r="Z5" s="14">
        <f t="shared" si="13"/>
        <v>0.30909553191489364</v>
      </c>
      <c r="AA5" s="14"/>
      <c r="AC5" s="4"/>
    </row>
    <row r="6" spans="1:29" x14ac:dyDescent="0.3">
      <c r="A6" s="6" t="s">
        <v>42</v>
      </c>
      <c r="B6" s="7">
        <v>4300</v>
      </c>
      <c r="C6" s="7">
        <v>1300</v>
      </c>
      <c r="D6" s="7">
        <v>270</v>
      </c>
      <c r="E6" s="7">
        <f t="shared" si="0"/>
        <v>1570</v>
      </c>
      <c r="F6" s="27">
        <v>52</v>
      </c>
      <c r="G6" s="27">
        <v>36</v>
      </c>
      <c r="H6" s="27">
        <v>21</v>
      </c>
      <c r="I6" s="5">
        <f t="shared" si="1"/>
        <v>39.311999999999998</v>
      </c>
      <c r="J6" s="10">
        <v>0.13</v>
      </c>
      <c r="K6" s="9">
        <f t="shared" si="2"/>
        <v>559</v>
      </c>
      <c r="L6" s="9">
        <f t="shared" si="3"/>
        <v>53.878999999999998</v>
      </c>
      <c r="M6" s="9">
        <f t="shared" si="4"/>
        <v>236.5</v>
      </c>
      <c r="N6" s="9">
        <f t="shared" si="5"/>
        <v>223.06</v>
      </c>
      <c r="O6" s="9">
        <f t="shared" si="6"/>
        <v>238.06</v>
      </c>
      <c r="P6" s="22" t="s">
        <v>23</v>
      </c>
      <c r="Q6" s="8">
        <f t="shared" si="7"/>
        <v>0.5</v>
      </c>
      <c r="R6" s="22">
        <v>80</v>
      </c>
      <c r="S6" s="24">
        <f t="shared" si="8"/>
        <v>574.84</v>
      </c>
      <c r="T6" s="10">
        <v>0</v>
      </c>
      <c r="U6" s="11">
        <f t="shared" si="9"/>
        <v>1187.7190000000001</v>
      </c>
      <c r="V6" s="10">
        <f t="shared" si="10"/>
        <v>0.27621372093023255</v>
      </c>
      <c r="W6" s="29">
        <v>0.06</v>
      </c>
      <c r="X6" s="12">
        <f t="shared" si="11"/>
        <v>258</v>
      </c>
      <c r="Y6" s="13">
        <f t="shared" si="12"/>
        <v>1284.2809999999999</v>
      </c>
      <c r="Z6" s="14">
        <f t="shared" si="13"/>
        <v>0.29866999999999999</v>
      </c>
      <c r="AA6" s="14"/>
      <c r="AC6" s="4"/>
    </row>
    <row r="7" spans="1:29" x14ac:dyDescent="0.3">
      <c r="A7" s="6" t="s">
        <v>43</v>
      </c>
      <c r="B7" s="7">
        <v>3900</v>
      </c>
      <c r="C7" s="7">
        <v>1300</v>
      </c>
      <c r="D7" s="7">
        <v>270</v>
      </c>
      <c r="E7" s="7">
        <f t="shared" si="0"/>
        <v>1570</v>
      </c>
      <c r="F7" s="27">
        <v>48</v>
      </c>
      <c r="G7" s="27">
        <v>34</v>
      </c>
      <c r="H7" s="27">
        <v>20</v>
      </c>
      <c r="I7" s="5">
        <f t="shared" si="1"/>
        <v>32.64</v>
      </c>
      <c r="J7" s="10">
        <v>0.13</v>
      </c>
      <c r="K7" s="9">
        <f t="shared" si="2"/>
        <v>507</v>
      </c>
      <c r="L7" s="9">
        <f t="shared" si="3"/>
        <v>48.866999999999997</v>
      </c>
      <c r="M7" s="9">
        <f>B7*0.055</f>
        <v>214.5</v>
      </c>
      <c r="N7" s="9">
        <f t="shared" si="5"/>
        <v>189.7</v>
      </c>
      <c r="O7" s="9">
        <f t="shared" si="6"/>
        <v>204.7</v>
      </c>
      <c r="P7" s="22" t="s">
        <v>23</v>
      </c>
      <c r="Q7" s="8">
        <f t="shared" si="7"/>
        <v>0.5</v>
      </c>
      <c r="R7" s="22">
        <v>80</v>
      </c>
      <c r="S7" s="24">
        <f t="shared" si="8"/>
        <v>502.79999999999995</v>
      </c>
      <c r="T7" s="10">
        <v>0</v>
      </c>
      <c r="U7" s="11">
        <f t="shared" si="9"/>
        <v>1058.6669999999999</v>
      </c>
      <c r="V7" s="10">
        <f t="shared" si="10"/>
        <v>0.27145307692307691</v>
      </c>
      <c r="W7" s="29">
        <v>0.06</v>
      </c>
      <c r="X7" s="12">
        <f t="shared" si="11"/>
        <v>234</v>
      </c>
      <c r="Y7" s="13">
        <f t="shared" si="12"/>
        <v>1037.3330000000001</v>
      </c>
      <c r="Z7" s="14">
        <f t="shared" si="13"/>
        <v>0.26598282051282052</v>
      </c>
      <c r="AA7" s="14"/>
      <c r="AC7" s="4"/>
    </row>
    <row r="8" spans="1:29" x14ac:dyDescent="0.3">
      <c r="A8" s="6" t="s">
        <v>37</v>
      </c>
      <c r="B8" s="7">
        <v>900</v>
      </c>
      <c r="C8" s="7">
        <v>350</v>
      </c>
      <c r="D8" s="7">
        <v>0</v>
      </c>
      <c r="E8" s="7">
        <f t="shared" si="0"/>
        <v>350</v>
      </c>
      <c r="F8" s="27">
        <v>20</v>
      </c>
      <c r="G8" s="27">
        <v>100</v>
      </c>
      <c r="H8" s="27">
        <v>1</v>
      </c>
      <c r="I8" s="5">
        <f t="shared" si="1"/>
        <v>2</v>
      </c>
      <c r="J8" s="10">
        <v>0.13</v>
      </c>
      <c r="K8" s="9">
        <f t="shared" si="2"/>
        <v>117</v>
      </c>
      <c r="L8" s="9">
        <f t="shared" si="3"/>
        <v>11.276999999999999</v>
      </c>
      <c r="M8" s="9">
        <f t="shared" ref="M8:M34" si="14">B8*0.055</f>
        <v>49.5</v>
      </c>
      <c r="N8" s="9">
        <f t="shared" si="5"/>
        <v>36.5</v>
      </c>
      <c r="O8" s="9">
        <f t="shared" si="6"/>
        <v>51.5</v>
      </c>
      <c r="P8" s="22" t="s">
        <v>23</v>
      </c>
      <c r="Q8" s="8">
        <f t="shared" si="7"/>
        <v>0.5</v>
      </c>
      <c r="R8" s="22">
        <v>80</v>
      </c>
      <c r="S8" s="24">
        <f t="shared" si="8"/>
        <v>108</v>
      </c>
      <c r="T8" s="8"/>
      <c r="U8" s="11">
        <f t="shared" si="9"/>
        <v>236.27699999999999</v>
      </c>
      <c r="V8" s="10">
        <f t="shared" si="10"/>
        <v>0.26252999999999999</v>
      </c>
      <c r="W8" s="29">
        <v>0.06</v>
      </c>
      <c r="X8" s="12">
        <f t="shared" si="11"/>
        <v>54</v>
      </c>
      <c r="Y8" s="13">
        <f t="shared" si="12"/>
        <v>259.72300000000001</v>
      </c>
      <c r="Z8" s="14">
        <f t="shared" si="13"/>
        <v>0.28858111111111112</v>
      </c>
      <c r="AA8" s="14"/>
      <c r="AC8" s="4"/>
    </row>
    <row r="9" spans="1:29" x14ac:dyDescent="0.3">
      <c r="A9" s="6"/>
      <c r="B9" s="7"/>
      <c r="C9" s="7"/>
      <c r="D9" s="7"/>
      <c r="E9" s="7"/>
      <c r="F9" s="27"/>
      <c r="G9" s="27"/>
      <c r="H9" s="27"/>
      <c r="I9" s="5">
        <f t="shared" si="1"/>
        <v>0</v>
      </c>
      <c r="J9" s="10"/>
      <c r="K9" s="9">
        <f t="shared" si="2"/>
        <v>0</v>
      </c>
      <c r="L9" s="9">
        <f t="shared" si="3"/>
        <v>0</v>
      </c>
      <c r="M9" s="9">
        <f t="shared" si="14"/>
        <v>0</v>
      </c>
      <c r="N9" s="9">
        <f t="shared" si="5"/>
        <v>26.5</v>
      </c>
      <c r="O9" s="9">
        <f t="shared" si="6"/>
        <v>41.5</v>
      </c>
      <c r="P9" s="22" t="s">
        <v>23</v>
      </c>
      <c r="Q9" s="8">
        <f t="shared" si="7"/>
        <v>0.5</v>
      </c>
      <c r="R9" s="22"/>
      <c r="S9" s="24" t="e">
        <f t="shared" si="8"/>
        <v>#DIV/0!</v>
      </c>
      <c r="T9" s="8"/>
      <c r="U9" s="11" t="e">
        <f t="shared" si="9"/>
        <v>#DIV/0!</v>
      </c>
      <c r="V9" s="10" t="e">
        <f t="shared" si="10"/>
        <v>#DIV/0!</v>
      </c>
      <c r="W9" s="29"/>
      <c r="X9" s="12">
        <f t="shared" si="11"/>
        <v>0</v>
      </c>
      <c r="Y9" s="13" t="e">
        <f t="shared" si="12"/>
        <v>#DIV/0!</v>
      </c>
      <c r="Z9" s="14" t="e">
        <f t="shared" si="13"/>
        <v>#DIV/0!</v>
      </c>
      <c r="AA9" s="14"/>
      <c r="AC9" s="4"/>
    </row>
    <row r="10" spans="1:29" x14ac:dyDescent="0.3">
      <c r="A10" s="6"/>
      <c r="B10" s="7"/>
      <c r="C10" s="7"/>
      <c r="D10" s="7"/>
      <c r="E10" s="7"/>
      <c r="F10" s="27"/>
      <c r="G10" s="27"/>
      <c r="H10" s="27"/>
      <c r="I10" s="5">
        <f t="shared" si="1"/>
        <v>0</v>
      </c>
      <c r="J10" s="10"/>
      <c r="K10" s="9">
        <f t="shared" si="2"/>
        <v>0</v>
      </c>
      <c r="L10" s="9">
        <f t="shared" si="3"/>
        <v>0</v>
      </c>
      <c r="M10" s="9">
        <f t="shared" si="14"/>
        <v>0</v>
      </c>
      <c r="N10" s="9">
        <f t="shared" si="5"/>
        <v>26.5</v>
      </c>
      <c r="O10" s="9">
        <f t="shared" si="6"/>
        <v>41.5</v>
      </c>
      <c r="P10" s="22" t="s">
        <v>23</v>
      </c>
      <c r="Q10" s="8">
        <f t="shared" si="7"/>
        <v>0.5</v>
      </c>
      <c r="R10" s="22"/>
      <c r="S10" s="24" t="e">
        <f t="shared" si="8"/>
        <v>#DIV/0!</v>
      </c>
      <c r="T10" s="8"/>
      <c r="U10" s="11" t="e">
        <f t="shared" si="9"/>
        <v>#DIV/0!</v>
      </c>
      <c r="V10" s="10" t="e">
        <f t="shared" si="10"/>
        <v>#DIV/0!</v>
      </c>
      <c r="W10" s="29"/>
      <c r="X10" s="12">
        <f t="shared" si="11"/>
        <v>0</v>
      </c>
      <c r="Y10" s="13" t="e">
        <f t="shared" si="12"/>
        <v>#DIV/0!</v>
      </c>
      <c r="Z10" s="14" t="e">
        <f t="shared" si="13"/>
        <v>#DIV/0!</v>
      </c>
      <c r="AA10" s="14"/>
      <c r="AC10" s="4"/>
    </row>
    <row r="11" spans="1:29" x14ac:dyDescent="0.3">
      <c r="A11" s="6"/>
      <c r="B11" s="7"/>
      <c r="C11" s="7"/>
      <c r="D11" s="7"/>
      <c r="E11" s="7"/>
      <c r="F11" s="27"/>
      <c r="G11" s="27"/>
      <c r="H11" s="27"/>
      <c r="I11" s="5">
        <f t="shared" si="1"/>
        <v>0</v>
      </c>
      <c r="J11" s="10"/>
      <c r="K11" s="9">
        <f t="shared" si="2"/>
        <v>0</v>
      </c>
      <c r="L11" s="9">
        <f t="shared" si="3"/>
        <v>0</v>
      </c>
      <c r="M11" s="9">
        <f t="shared" si="14"/>
        <v>0</v>
      </c>
      <c r="N11" s="9">
        <f t="shared" si="5"/>
        <v>26.5</v>
      </c>
      <c r="O11" s="9">
        <f t="shared" si="6"/>
        <v>41.5</v>
      </c>
      <c r="P11" s="22" t="s">
        <v>23</v>
      </c>
      <c r="Q11" s="8">
        <f t="shared" si="7"/>
        <v>0.5</v>
      </c>
      <c r="R11" s="22"/>
      <c r="S11" s="24" t="e">
        <f t="shared" si="8"/>
        <v>#DIV/0!</v>
      </c>
      <c r="T11" s="8"/>
      <c r="U11" s="11" t="e">
        <f t="shared" si="9"/>
        <v>#DIV/0!</v>
      </c>
      <c r="V11" s="10" t="e">
        <f t="shared" si="10"/>
        <v>#DIV/0!</v>
      </c>
      <c r="W11" s="29"/>
      <c r="X11" s="12">
        <f t="shared" si="11"/>
        <v>0</v>
      </c>
      <c r="Y11" s="13" t="e">
        <f t="shared" si="12"/>
        <v>#DIV/0!</v>
      </c>
      <c r="Z11" s="14" t="e">
        <f t="shared" si="13"/>
        <v>#DIV/0!</v>
      </c>
      <c r="AA11" s="14"/>
      <c r="AC11" s="4"/>
    </row>
    <row r="12" spans="1:29" x14ac:dyDescent="0.3">
      <c r="A12" s="6"/>
      <c r="B12" s="7"/>
      <c r="C12" s="7"/>
      <c r="D12" s="7"/>
      <c r="E12" s="7"/>
      <c r="F12" s="27"/>
      <c r="G12" s="27"/>
      <c r="H12" s="27"/>
      <c r="I12" s="5">
        <f t="shared" si="1"/>
        <v>0</v>
      </c>
      <c r="J12" s="10"/>
      <c r="K12" s="9">
        <f t="shared" si="2"/>
        <v>0</v>
      </c>
      <c r="L12" s="9">
        <f t="shared" si="3"/>
        <v>0</v>
      </c>
      <c r="M12" s="9">
        <f t="shared" si="14"/>
        <v>0</v>
      </c>
      <c r="N12" s="9">
        <f t="shared" si="5"/>
        <v>26.5</v>
      </c>
      <c r="O12" s="9">
        <f t="shared" si="6"/>
        <v>41.5</v>
      </c>
      <c r="P12" s="22" t="s">
        <v>23</v>
      </c>
      <c r="Q12" s="8">
        <f t="shared" si="7"/>
        <v>0.5</v>
      </c>
      <c r="R12" s="22"/>
      <c r="S12" s="24" t="e">
        <f t="shared" si="8"/>
        <v>#DIV/0!</v>
      </c>
      <c r="T12" s="8"/>
      <c r="U12" s="11" t="e">
        <f t="shared" si="9"/>
        <v>#DIV/0!</v>
      </c>
      <c r="V12" s="10" t="e">
        <f t="shared" si="10"/>
        <v>#DIV/0!</v>
      </c>
      <c r="W12" s="29"/>
      <c r="X12" s="12">
        <f t="shared" si="11"/>
        <v>0</v>
      </c>
      <c r="Y12" s="13" t="e">
        <f t="shared" si="12"/>
        <v>#DIV/0!</v>
      </c>
      <c r="Z12" s="14" t="e">
        <f t="shared" si="13"/>
        <v>#DIV/0!</v>
      </c>
      <c r="AA12" s="14"/>
      <c r="AC12" s="4"/>
    </row>
    <row r="13" spans="1:29" x14ac:dyDescent="0.3">
      <c r="A13" s="6"/>
      <c r="B13" s="7"/>
      <c r="C13" s="7"/>
      <c r="D13" s="7"/>
      <c r="E13" s="7"/>
      <c r="F13" s="27"/>
      <c r="G13" s="27"/>
      <c r="H13" s="27"/>
      <c r="I13" s="5">
        <f t="shared" si="1"/>
        <v>0</v>
      </c>
      <c r="J13" s="10"/>
      <c r="K13" s="9">
        <f t="shared" si="2"/>
        <v>0</v>
      </c>
      <c r="L13" s="9">
        <f t="shared" si="3"/>
        <v>0</v>
      </c>
      <c r="M13" s="9">
        <f t="shared" si="14"/>
        <v>0</v>
      </c>
      <c r="N13" s="9">
        <f t="shared" si="5"/>
        <v>26.5</v>
      </c>
      <c r="O13" s="9">
        <f t="shared" si="6"/>
        <v>41.5</v>
      </c>
      <c r="P13" s="22" t="s">
        <v>23</v>
      </c>
      <c r="Q13" s="8">
        <f t="shared" si="7"/>
        <v>0.5</v>
      </c>
      <c r="R13" s="22"/>
      <c r="S13" s="24" t="e">
        <f t="shared" si="8"/>
        <v>#DIV/0!</v>
      </c>
      <c r="T13" s="8"/>
      <c r="U13" s="11" t="e">
        <f t="shared" si="9"/>
        <v>#DIV/0!</v>
      </c>
      <c r="V13" s="10" t="e">
        <f t="shared" si="10"/>
        <v>#DIV/0!</v>
      </c>
      <c r="W13" s="29"/>
      <c r="X13" s="12">
        <f t="shared" si="11"/>
        <v>0</v>
      </c>
      <c r="Y13" s="13" t="e">
        <f t="shared" si="12"/>
        <v>#DIV/0!</v>
      </c>
      <c r="Z13" s="14" t="e">
        <f t="shared" si="13"/>
        <v>#DIV/0!</v>
      </c>
      <c r="AA13" s="14"/>
      <c r="AC13" s="4"/>
    </row>
    <row r="14" spans="1:29" x14ac:dyDescent="0.3">
      <c r="A14" s="6"/>
      <c r="B14" s="7"/>
      <c r="C14" s="7"/>
      <c r="D14" s="7"/>
      <c r="E14" s="7"/>
      <c r="F14" s="27"/>
      <c r="G14" s="27"/>
      <c r="H14" s="27"/>
      <c r="I14" s="5">
        <f t="shared" si="1"/>
        <v>0</v>
      </c>
      <c r="J14" s="10"/>
      <c r="K14" s="9">
        <f t="shared" si="2"/>
        <v>0</v>
      </c>
      <c r="L14" s="9">
        <f t="shared" si="3"/>
        <v>0</v>
      </c>
      <c r="M14" s="9">
        <f t="shared" si="14"/>
        <v>0</v>
      </c>
      <c r="N14" s="9">
        <f t="shared" si="5"/>
        <v>26.5</v>
      </c>
      <c r="O14" s="9">
        <f t="shared" si="6"/>
        <v>41.5</v>
      </c>
      <c r="P14" s="22" t="s">
        <v>23</v>
      </c>
      <c r="Q14" s="8">
        <f t="shared" si="7"/>
        <v>0.5</v>
      </c>
      <c r="R14" s="22"/>
      <c r="S14" s="24" t="e">
        <f t="shared" si="8"/>
        <v>#DIV/0!</v>
      </c>
      <c r="T14" s="8"/>
      <c r="U14" s="11" t="e">
        <f t="shared" si="9"/>
        <v>#DIV/0!</v>
      </c>
      <c r="V14" s="10" t="e">
        <f t="shared" si="10"/>
        <v>#DIV/0!</v>
      </c>
      <c r="W14" s="29"/>
      <c r="X14" s="12">
        <f t="shared" si="11"/>
        <v>0</v>
      </c>
      <c r="Y14" s="13" t="e">
        <f t="shared" si="12"/>
        <v>#DIV/0!</v>
      </c>
      <c r="Z14" s="14" t="e">
        <f t="shared" si="13"/>
        <v>#DIV/0!</v>
      </c>
      <c r="AA14" s="14"/>
      <c r="AC14" s="4"/>
    </row>
    <row r="15" spans="1:29" x14ac:dyDescent="0.3">
      <c r="A15" s="6"/>
      <c r="B15" s="7"/>
      <c r="C15" s="7"/>
      <c r="D15" s="7"/>
      <c r="E15" s="7"/>
      <c r="F15" s="27"/>
      <c r="G15" s="27"/>
      <c r="H15" s="27"/>
      <c r="I15" s="5">
        <f t="shared" si="1"/>
        <v>0</v>
      </c>
      <c r="J15" s="10"/>
      <c r="K15" s="9">
        <f t="shared" si="2"/>
        <v>0</v>
      </c>
      <c r="L15" s="9">
        <f t="shared" si="3"/>
        <v>0</v>
      </c>
      <c r="M15" s="9">
        <f t="shared" si="14"/>
        <v>0</v>
      </c>
      <c r="N15" s="9">
        <f t="shared" si="5"/>
        <v>26.5</v>
      </c>
      <c r="O15" s="9">
        <f t="shared" si="6"/>
        <v>41.5</v>
      </c>
      <c r="P15" s="22" t="s">
        <v>23</v>
      </c>
      <c r="Q15" s="8">
        <f t="shared" si="7"/>
        <v>0.5</v>
      </c>
      <c r="R15" s="22"/>
      <c r="S15" s="24" t="e">
        <f t="shared" si="8"/>
        <v>#DIV/0!</v>
      </c>
      <c r="T15" s="8"/>
      <c r="U15" s="11" t="e">
        <f t="shared" si="9"/>
        <v>#DIV/0!</v>
      </c>
      <c r="V15" s="10" t="e">
        <f t="shared" si="10"/>
        <v>#DIV/0!</v>
      </c>
      <c r="W15" s="29"/>
      <c r="X15" s="12">
        <f t="shared" si="11"/>
        <v>0</v>
      </c>
      <c r="Y15" s="13" t="e">
        <f t="shared" si="12"/>
        <v>#DIV/0!</v>
      </c>
      <c r="Z15" s="14" t="e">
        <f t="shared" si="13"/>
        <v>#DIV/0!</v>
      </c>
      <c r="AA15" s="14"/>
      <c r="AC15" s="4"/>
    </row>
    <row r="16" spans="1:29" x14ac:dyDescent="0.3">
      <c r="A16" s="6"/>
      <c r="B16" s="7"/>
      <c r="C16" s="7"/>
      <c r="D16" s="7"/>
      <c r="E16" s="7"/>
      <c r="F16" s="27"/>
      <c r="G16" s="27"/>
      <c r="H16" s="27"/>
      <c r="I16" s="5">
        <f t="shared" si="1"/>
        <v>0</v>
      </c>
      <c r="J16" s="10"/>
      <c r="K16" s="9">
        <f t="shared" si="2"/>
        <v>0</v>
      </c>
      <c r="L16" s="9">
        <f t="shared" si="3"/>
        <v>0</v>
      </c>
      <c r="M16" s="9">
        <f t="shared" si="14"/>
        <v>0</v>
      </c>
      <c r="N16" s="9">
        <f t="shared" si="5"/>
        <v>26.5</v>
      </c>
      <c r="O16" s="9">
        <f t="shared" si="6"/>
        <v>41.5</v>
      </c>
      <c r="P16" s="22" t="s">
        <v>23</v>
      </c>
      <c r="Q16" s="8">
        <f t="shared" si="7"/>
        <v>0.5</v>
      </c>
      <c r="R16" s="22"/>
      <c r="S16" s="24" t="e">
        <f t="shared" si="8"/>
        <v>#DIV/0!</v>
      </c>
      <c r="T16" s="8"/>
      <c r="U16" s="11" t="e">
        <f t="shared" si="9"/>
        <v>#DIV/0!</v>
      </c>
      <c r="V16" s="10" t="e">
        <f t="shared" si="10"/>
        <v>#DIV/0!</v>
      </c>
      <c r="W16" s="29"/>
      <c r="X16" s="12">
        <f t="shared" si="11"/>
        <v>0</v>
      </c>
      <c r="Y16" s="13" t="e">
        <f t="shared" si="12"/>
        <v>#DIV/0!</v>
      </c>
      <c r="Z16" s="14" t="e">
        <f t="shared" si="13"/>
        <v>#DIV/0!</v>
      </c>
      <c r="AA16" s="14"/>
      <c r="AC16" s="4"/>
    </row>
    <row r="17" spans="1:29" x14ac:dyDescent="0.3">
      <c r="A17" s="6"/>
      <c r="B17" s="7"/>
      <c r="C17" s="7"/>
      <c r="D17" s="7"/>
      <c r="E17" s="7"/>
      <c r="F17" s="27"/>
      <c r="G17" s="27"/>
      <c r="H17" s="27"/>
      <c r="I17" s="5">
        <f t="shared" si="1"/>
        <v>0</v>
      </c>
      <c r="J17" s="10"/>
      <c r="K17" s="9">
        <f t="shared" si="2"/>
        <v>0</v>
      </c>
      <c r="L17" s="9">
        <f t="shared" si="3"/>
        <v>0</v>
      </c>
      <c r="M17" s="9">
        <f t="shared" si="14"/>
        <v>0</v>
      </c>
      <c r="N17" s="9">
        <f t="shared" si="5"/>
        <v>26.5</v>
      </c>
      <c r="O17" s="9">
        <f t="shared" si="6"/>
        <v>41.5</v>
      </c>
      <c r="P17" s="22" t="s">
        <v>23</v>
      </c>
      <c r="Q17" s="8">
        <f t="shared" si="7"/>
        <v>0.5</v>
      </c>
      <c r="R17" s="22"/>
      <c r="S17" s="24" t="e">
        <f t="shared" si="8"/>
        <v>#DIV/0!</v>
      </c>
      <c r="T17" s="8"/>
      <c r="U17" s="11" t="e">
        <f t="shared" si="9"/>
        <v>#DIV/0!</v>
      </c>
      <c r="V17" s="10" t="e">
        <f t="shared" si="10"/>
        <v>#DIV/0!</v>
      </c>
      <c r="W17" s="29"/>
      <c r="X17" s="12">
        <f t="shared" si="11"/>
        <v>0</v>
      </c>
      <c r="Y17" s="13" t="e">
        <f t="shared" si="12"/>
        <v>#DIV/0!</v>
      </c>
      <c r="Z17" s="14" t="e">
        <f t="shared" si="13"/>
        <v>#DIV/0!</v>
      </c>
      <c r="AA17" s="14"/>
      <c r="AC17" s="4"/>
    </row>
    <row r="18" spans="1:29" x14ac:dyDescent="0.3">
      <c r="A18" s="6"/>
      <c r="B18" s="7"/>
      <c r="C18" s="7"/>
      <c r="D18" s="7"/>
      <c r="E18" s="7"/>
      <c r="F18" s="27"/>
      <c r="G18" s="27"/>
      <c r="H18" s="27"/>
      <c r="I18" s="5">
        <f t="shared" si="1"/>
        <v>0</v>
      </c>
      <c r="J18" s="10"/>
      <c r="K18" s="9">
        <f t="shared" si="2"/>
        <v>0</v>
      </c>
      <c r="L18" s="9">
        <f t="shared" si="3"/>
        <v>0</v>
      </c>
      <c r="M18" s="9">
        <f t="shared" si="14"/>
        <v>0</v>
      </c>
      <c r="N18" s="9">
        <f t="shared" si="5"/>
        <v>26.5</v>
      </c>
      <c r="O18" s="9">
        <f t="shared" si="6"/>
        <v>41.5</v>
      </c>
      <c r="P18" s="22" t="s">
        <v>23</v>
      </c>
      <c r="Q18" s="8">
        <f t="shared" si="7"/>
        <v>0.5</v>
      </c>
      <c r="R18" s="22"/>
      <c r="S18" s="24" t="e">
        <f t="shared" si="8"/>
        <v>#DIV/0!</v>
      </c>
      <c r="T18" s="8"/>
      <c r="U18" s="11" t="e">
        <f t="shared" si="9"/>
        <v>#DIV/0!</v>
      </c>
      <c r="V18" s="10" t="e">
        <f t="shared" si="10"/>
        <v>#DIV/0!</v>
      </c>
      <c r="W18" s="29"/>
      <c r="X18" s="12">
        <f t="shared" si="11"/>
        <v>0</v>
      </c>
      <c r="Y18" s="13" t="e">
        <f t="shared" si="12"/>
        <v>#DIV/0!</v>
      </c>
      <c r="Z18" s="14" t="e">
        <f t="shared" si="13"/>
        <v>#DIV/0!</v>
      </c>
      <c r="AA18" s="14"/>
      <c r="AC18" s="4"/>
    </row>
    <row r="19" spans="1:29" x14ac:dyDescent="0.3">
      <c r="A19" s="6"/>
      <c r="B19" s="7"/>
      <c r="C19" s="7"/>
      <c r="D19" s="7"/>
      <c r="E19" s="7"/>
      <c r="F19" s="27"/>
      <c r="G19" s="27"/>
      <c r="H19" s="27"/>
      <c r="I19" s="5">
        <f t="shared" si="1"/>
        <v>0</v>
      </c>
      <c r="J19" s="10"/>
      <c r="K19" s="9">
        <f t="shared" si="2"/>
        <v>0</v>
      </c>
      <c r="L19" s="9">
        <f t="shared" si="3"/>
        <v>0</v>
      </c>
      <c r="M19" s="9">
        <f t="shared" si="14"/>
        <v>0</v>
      </c>
      <c r="N19" s="9">
        <f t="shared" si="5"/>
        <v>26.5</v>
      </c>
      <c r="O19" s="9">
        <f t="shared" si="6"/>
        <v>41.5</v>
      </c>
      <c r="P19" s="22" t="s">
        <v>23</v>
      </c>
      <c r="Q19" s="8">
        <f t="shared" si="7"/>
        <v>0.5</v>
      </c>
      <c r="R19" s="22"/>
      <c r="S19" s="24" t="e">
        <f t="shared" si="8"/>
        <v>#DIV/0!</v>
      </c>
      <c r="T19" s="8"/>
      <c r="U19" s="11" t="e">
        <f t="shared" si="9"/>
        <v>#DIV/0!</v>
      </c>
      <c r="V19" s="10" t="e">
        <f t="shared" si="10"/>
        <v>#DIV/0!</v>
      </c>
      <c r="W19" s="29"/>
      <c r="X19" s="12">
        <f t="shared" si="11"/>
        <v>0</v>
      </c>
      <c r="Y19" s="13" t="e">
        <f t="shared" si="12"/>
        <v>#DIV/0!</v>
      </c>
      <c r="Z19" s="14" t="e">
        <f t="shared" si="13"/>
        <v>#DIV/0!</v>
      </c>
      <c r="AA19" s="14"/>
      <c r="AC19" s="4"/>
    </row>
    <row r="20" spans="1:29" x14ac:dyDescent="0.3">
      <c r="A20" s="6"/>
      <c r="B20" s="7"/>
      <c r="C20" s="7"/>
      <c r="D20" s="7"/>
      <c r="E20" s="7"/>
      <c r="F20" s="27"/>
      <c r="G20" s="27"/>
      <c r="H20" s="27"/>
      <c r="I20" s="5">
        <f t="shared" si="1"/>
        <v>0</v>
      </c>
      <c r="J20" s="10"/>
      <c r="K20" s="9">
        <f t="shared" si="2"/>
        <v>0</v>
      </c>
      <c r="L20" s="9">
        <f t="shared" si="3"/>
        <v>0</v>
      </c>
      <c r="M20" s="9">
        <f t="shared" si="14"/>
        <v>0</v>
      </c>
      <c r="N20" s="9">
        <f t="shared" si="5"/>
        <v>26.5</v>
      </c>
      <c r="O20" s="9">
        <f t="shared" si="6"/>
        <v>41.5</v>
      </c>
      <c r="P20" s="22" t="s">
        <v>23</v>
      </c>
      <c r="Q20" s="8">
        <f t="shared" si="7"/>
        <v>0.5</v>
      </c>
      <c r="R20" s="22"/>
      <c r="S20" s="24" t="e">
        <f t="shared" si="8"/>
        <v>#DIV/0!</v>
      </c>
      <c r="T20" s="8"/>
      <c r="U20" s="11" t="e">
        <f t="shared" si="9"/>
        <v>#DIV/0!</v>
      </c>
      <c r="V20" s="10" t="e">
        <f t="shared" si="10"/>
        <v>#DIV/0!</v>
      </c>
      <c r="W20" s="29"/>
      <c r="X20" s="12">
        <f t="shared" si="11"/>
        <v>0</v>
      </c>
      <c r="Y20" s="13" t="e">
        <f t="shared" si="12"/>
        <v>#DIV/0!</v>
      </c>
      <c r="Z20" s="14" t="e">
        <f t="shared" si="13"/>
        <v>#DIV/0!</v>
      </c>
      <c r="AA20" s="14"/>
      <c r="AC20" s="4"/>
    </row>
    <row r="21" spans="1:29" x14ac:dyDescent="0.3">
      <c r="A21" s="6"/>
      <c r="B21" s="7"/>
      <c r="C21" s="7"/>
      <c r="D21" s="7"/>
      <c r="E21" s="7"/>
      <c r="F21" s="27"/>
      <c r="G21" s="27"/>
      <c r="H21" s="27"/>
      <c r="I21" s="5">
        <f t="shared" si="1"/>
        <v>0</v>
      </c>
      <c r="J21" s="10"/>
      <c r="K21" s="9">
        <f t="shared" si="2"/>
        <v>0</v>
      </c>
      <c r="L21" s="9">
        <f t="shared" si="3"/>
        <v>0</v>
      </c>
      <c r="M21" s="9">
        <f t="shared" si="14"/>
        <v>0</v>
      </c>
      <c r="N21" s="9">
        <f t="shared" si="5"/>
        <v>26.5</v>
      </c>
      <c r="O21" s="9">
        <f t="shared" si="6"/>
        <v>41.5</v>
      </c>
      <c r="P21" s="22" t="s">
        <v>23</v>
      </c>
      <c r="Q21" s="8">
        <f t="shared" si="7"/>
        <v>0.5</v>
      </c>
      <c r="R21" s="22"/>
      <c r="S21" s="24" t="e">
        <f t="shared" si="8"/>
        <v>#DIV/0!</v>
      </c>
      <c r="T21" s="8"/>
      <c r="U21" s="11" t="e">
        <f t="shared" si="9"/>
        <v>#DIV/0!</v>
      </c>
      <c r="V21" s="10" t="e">
        <f t="shared" si="10"/>
        <v>#DIV/0!</v>
      </c>
      <c r="W21" s="29"/>
      <c r="X21" s="12">
        <f t="shared" si="11"/>
        <v>0</v>
      </c>
      <c r="Y21" s="13" t="e">
        <f t="shared" si="12"/>
        <v>#DIV/0!</v>
      </c>
      <c r="Z21" s="14" t="e">
        <f t="shared" si="13"/>
        <v>#DIV/0!</v>
      </c>
      <c r="AA21" s="14"/>
      <c r="AC21" s="4"/>
    </row>
    <row r="22" spans="1:29" x14ac:dyDescent="0.3">
      <c r="A22" s="6"/>
      <c r="B22" s="7"/>
      <c r="C22" s="7"/>
      <c r="D22" s="7"/>
      <c r="E22" s="7"/>
      <c r="F22" s="27"/>
      <c r="G22" s="27"/>
      <c r="H22" s="27"/>
      <c r="I22" s="5">
        <f t="shared" si="1"/>
        <v>0</v>
      </c>
      <c r="J22" s="10"/>
      <c r="K22" s="9">
        <f t="shared" si="2"/>
        <v>0</v>
      </c>
      <c r="L22" s="9">
        <f t="shared" si="3"/>
        <v>0</v>
      </c>
      <c r="M22" s="9">
        <f t="shared" si="14"/>
        <v>0</v>
      </c>
      <c r="N22" s="9">
        <f t="shared" si="5"/>
        <v>26.5</v>
      </c>
      <c r="O22" s="9">
        <f t="shared" si="6"/>
        <v>41.5</v>
      </c>
      <c r="P22" s="22" t="s">
        <v>23</v>
      </c>
      <c r="Q22" s="8">
        <f t="shared" si="7"/>
        <v>0.5</v>
      </c>
      <c r="R22" s="22"/>
      <c r="S22" s="24" t="e">
        <f t="shared" si="8"/>
        <v>#DIV/0!</v>
      </c>
      <c r="T22" s="8"/>
      <c r="U22" s="11" t="e">
        <f t="shared" si="9"/>
        <v>#DIV/0!</v>
      </c>
      <c r="V22" s="10" t="e">
        <f t="shared" si="10"/>
        <v>#DIV/0!</v>
      </c>
      <c r="W22" s="29"/>
      <c r="X22" s="12">
        <f t="shared" si="11"/>
        <v>0</v>
      </c>
      <c r="Y22" s="13" t="e">
        <f t="shared" si="12"/>
        <v>#DIV/0!</v>
      </c>
      <c r="Z22" s="14" t="e">
        <f t="shared" si="13"/>
        <v>#DIV/0!</v>
      </c>
      <c r="AA22" s="14"/>
      <c r="AC22" s="4"/>
    </row>
    <row r="23" spans="1:29" x14ac:dyDescent="0.3">
      <c r="A23" s="6"/>
      <c r="B23" s="7"/>
      <c r="C23" s="7"/>
      <c r="D23" s="7"/>
      <c r="E23" s="7"/>
      <c r="F23" s="27"/>
      <c r="G23" s="27"/>
      <c r="H23" s="27"/>
      <c r="I23" s="5">
        <f t="shared" si="1"/>
        <v>0</v>
      </c>
      <c r="J23" s="10"/>
      <c r="K23" s="9">
        <f t="shared" si="2"/>
        <v>0</v>
      </c>
      <c r="L23" s="9">
        <f t="shared" si="3"/>
        <v>0</v>
      </c>
      <c r="M23" s="9">
        <f t="shared" si="14"/>
        <v>0</v>
      </c>
      <c r="N23" s="9">
        <f t="shared" si="5"/>
        <v>26.5</v>
      </c>
      <c r="O23" s="9">
        <f t="shared" si="6"/>
        <v>41.5</v>
      </c>
      <c r="P23" s="22" t="s">
        <v>23</v>
      </c>
      <c r="Q23" s="8">
        <f t="shared" si="7"/>
        <v>0.5</v>
      </c>
      <c r="R23" s="22"/>
      <c r="S23" s="24" t="e">
        <f t="shared" si="8"/>
        <v>#DIV/0!</v>
      </c>
      <c r="T23" s="8"/>
      <c r="U23" s="11" t="e">
        <f t="shared" si="9"/>
        <v>#DIV/0!</v>
      </c>
      <c r="V23" s="10" t="e">
        <f t="shared" si="10"/>
        <v>#DIV/0!</v>
      </c>
      <c r="W23" s="29"/>
      <c r="X23" s="12">
        <f t="shared" si="11"/>
        <v>0</v>
      </c>
      <c r="Y23" s="13" t="e">
        <f t="shared" si="12"/>
        <v>#DIV/0!</v>
      </c>
      <c r="Z23" s="14" t="e">
        <f t="shared" si="13"/>
        <v>#DIV/0!</v>
      </c>
      <c r="AA23" s="14"/>
      <c r="AC23" s="4"/>
    </row>
    <row r="24" spans="1:29" x14ac:dyDescent="0.3">
      <c r="A24" s="6"/>
      <c r="B24" s="7"/>
      <c r="C24" s="7"/>
      <c r="D24" s="7"/>
      <c r="E24" s="7"/>
      <c r="F24" s="27"/>
      <c r="G24" s="27"/>
      <c r="H24" s="27"/>
      <c r="I24" s="5">
        <f t="shared" si="1"/>
        <v>0</v>
      </c>
      <c r="J24" s="10"/>
      <c r="K24" s="9">
        <f t="shared" si="2"/>
        <v>0</v>
      </c>
      <c r="L24" s="9">
        <f t="shared" si="3"/>
        <v>0</v>
      </c>
      <c r="M24" s="9">
        <f t="shared" si="14"/>
        <v>0</v>
      </c>
      <c r="N24" s="9">
        <f t="shared" si="5"/>
        <v>26.5</v>
      </c>
      <c r="O24" s="9">
        <f t="shared" si="6"/>
        <v>41.5</v>
      </c>
      <c r="P24" s="22" t="s">
        <v>23</v>
      </c>
      <c r="Q24" s="8">
        <f t="shared" si="7"/>
        <v>0.5</v>
      </c>
      <c r="R24" s="22"/>
      <c r="S24" s="24" t="e">
        <f t="shared" si="8"/>
        <v>#DIV/0!</v>
      </c>
      <c r="T24" s="8"/>
      <c r="U24" s="11" t="e">
        <f t="shared" si="9"/>
        <v>#DIV/0!</v>
      </c>
      <c r="V24" s="10" t="e">
        <f t="shared" si="10"/>
        <v>#DIV/0!</v>
      </c>
      <c r="W24" s="29"/>
      <c r="X24" s="12">
        <f t="shared" si="11"/>
        <v>0</v>
      </c>
      <c r="Y24" s="13" t="e">
        <f t="shared" si="12"/>
        <v>#DIV/0!</v>
      </c>
      <c r="Z24" s="14" t="e">
        <f t="shared" si="13"/>
        <v>#DIV/0!</v>
      </c>
      <c r="AA24" s="14"/>
      <c r="AC24" s="4"/>
    </row>
    <row r="25" spans="1:29" x14ac:dyDescent="0.3">
      <c r="A25" s="6"/>
      <c r="B25" s="7"/>
      <c r="C25" s="7"/>
      <c r="D25" s="7"/>
      <c r="E25" s="7"/>
      <c r="F25" s="27"/>
      <c r="G25" s="27"/>
      <c r="H25" s="27"/>
      <c r="I25" s="5">
        <f t="shared" si="1"/>
        <v>0</v>
      </c>
      <c r="J25" s="10"/>
      <c r="K25" s="9">
        <f t="shared" si="2"/>
        <v>0</v>
      </c>
      <c r="L25" s="9">
        <f t="shared" si="3"/>
        <v>0</v>
      </c>
      <c r="M25" s="9">
        <f t="shared" si="14"/>
        <v>0</v>
      </c>
      <c r="N25" s="9">
        <f t="shared" si="5"/>
        <v>26.5</v>
      </c>
      <c r="O25" s="9">
        <f t="shared" si="6"/>
        <v>41.5</v>
      </c>
      <c r="P25" s="22" t="s">
        <v>23</v>
      </c>
      <c r="Q25" s="8">
        <f t="shared" si="7"/>
        <v>0.5</v>
      </c>
      <c r="R25" s="22"/>
      <c r="S25" s="24" t="e">
        <f t="shared" si="8"/>
        <v>#DIV/0!</v>
      </c>
      <c r="T25" s="8"/>
      <c r="U25" s="11" t="e">
        <f t="shared" si="9"/>
        <v>#DIV/0!</v>
      </c>
      <c r="V25" s="10" t="e">
        <f t="shared" si="10"/>
        <v>#DIV/0!</v>
      </c>
      <c r="W25" s="29"/>
      <c r="X25" s="12">
        <f t="shared" si="11"/>
        <v>0</v>
      </c>
      <c r="Y25" s="13" t="e">
        <f t="shared" si="12"/>
        <v>#DIV/0!</v>
      </c>
      <c r="Z25" s="14" t="e">
        <f t="shared" si="13"/>
        <v>#DIV/0!</v>
      </c>
      <c r="AA25" s="14"/>
      <c r="AC25" s="4"/>
    </row>
    <row r="26" spans="1:29" x14ac:dyDescent="0.3">
      <c r="A26" s="6"/>
      <c r="B26" s="7"/>
      <c r="C26" s="7"/>
      <c r="D26" s="7"/>
      <c r="E26" s="7"/>
      <c r="F26" s="27"/>
      <c r="G26" s="27"/>
      <c r="H26" s="27"/>
      <c r="I26" s="5">
        <f t="shared" si="1"/>
        <v>0</v>
      </c>
      <c r="J26" s="10"/>
      <c r="K26" s="9">
        <f t="shared" si="2"/>
        <v>0</v>
      </c>
      <c r="L26" s="9">
        <f t="shared" si="3"/>
        <v>0</v>
      </c>
      <c r="M26" s="9">
        <f t="shared" si="14"/>
        <v>0</v>
      </c>
      <c r="N26" s="9">
        <f t="shared" si="5"/>
        <v>26.5</v>
      </c>
      <c r="O26" s="9">
        <f t="shared" si="6"/>
        <v>41.5</v>
      </c>
      <c r="P26" s="22" t="s">
        <v>23</v>
      </c>
      <c r="Q26" s="8">
        <f t="shared" si="7"/>
        <v>0.5</v>
      </c>
      <c r="R26" s="22"/>
      <c r="S26" s="24" t="e">
        <f t="shared" si="8"/>
        <v>#DIV/0!</v>
      </c>
      <c r="T26" s="8"/>
      <c r="U26" s="11" t="e">
        <f t="shared" si="9"/>
        <v>#DIV/0!</v>
      </c>
      <c r="V26" s="10" t="e">
        <f t="shared" si="10"/>
        <v>#DIV/0!</v>
      </c>
      <c r="W26" s="29"/>
      <c r="X26" s="12">
        <f t="shared" si="11"/>
        <v>0</v>
      </c>
      <c r="Y26" s="13" t="e">
        <f t="shared" si="12"/>
        <v>#DIV/0!</v>
      </c>
      <c r="Z26" s="14" t="e">
        <f t="shared" si="13"/>
        <v>#DIV/0!</v>
      </c>
      <c r="AA26" s="14"/>
      <c r="AC26" s="4"/>
    </row>
    <row r="27" spans="1:29" x14ac:dyDescent="0.3">
      <c r="A27" s="6"/>
      <c r="B27" s="7"/>
      <c r="C27" s="7"/>
      <c r="D27" s="7"/>
      <c r="E27" s="7"/>
      <c r="F27" s="27"/>
      <c r="G27" s="27"/>
      <c r="H27" s="27"/>
      <c r="I27" s="5">
        <f t="shared" si="1"/>
        <v>0</v>
      </c>
      <c r="J27" s="10"/>
      <c r="K27" s="9">
        <f t="shared" si="2"/>
        <v>0</v>
      </c>
      <c r="L27" s="9">
        <f t="shared" si="3"/>
        <v>0</v>
      </c>
      <c r="M27" s="9">
        <f t="shared" si="14"/>
        <v>0</v>
      </c>
      <c r="N27" s="9">
        <f t="shared" si="5"/>
        <v>26.5</v>
      </c>
      <c r="O27" s="9">
        <f t="shared" si="6"/>
        <v>41.5</v>
      </c>
      <c r="P27" s="22" t="s">
        <v>23</v>
      </c>
      <c r="Q27" s="8">
        <f t="shared" si="7"/>
        <v>0.5</v>
      </c>
      <c r="R27" s="22"/>
      <c r="S27" s="24" t="e">
        <f t="shared" si="8"/>
        <v>#DIV/0!</v>
      </c>
      <c r="T27" s="8"/>
      <c r="U27" s="11" t="e">
        <f t="shared" si="9"/>
        <v>#DIV/0!</v>
      </c>
      <c r="V27" s="10" t="e">
        <f t="shared" si="10"/>
        <v>#DIV/0!</v>
      </c>
      <c r="W27" s="29"/>
      <c r="X27" s="12">
        <f t="shared" si="11"/>
        <v>0</v>
      </c>
      <c r="Y27" s="13" t="e">
        <f t="shared" si="12"/>
        <v>#DIV/0!</v>
      </c>
      <c r="Z27" s="14" t="e">
        <f t="shared" si="13"/>
        <v>#DIV/0!</v>
      </c>
      <c r="AA27" s="14"/>
      <c r="AC27" s="4"/>
    </row>
    <row r="28" spans="1:29" x14ac:dyDescent="0.3">
      <c r="A28" s="6"/>
      <c r="B28" s="7"/>
      <c r="C28" s="7"/>
      <c r="D28" s="7"/>
      <c r="E28" s="7"/>
      <c r="F28" s="27"/>
      <c r="G28" s="27"/>
      <c r="H28" s="27"/>
      <c r="I28" s="5">
        <f t="shared" si="1"/>
        <v>0</v>
      </c>
      <c r="J28" s="10"/>
      <c r="K28" s="9">
        <f t="shared" si="2"/>
        <v>0</v>
      </c>
      <c r="L28" s="9">
        <f t="shared" si="3"/>
        <v>0</v>
      </c>
      <c r="M28" s="9">
        <f t="shared" si="14"/>
        <v>0</v>
      </c>
      <c r="N28" s="9">
        <f t="shared" si="5"/>
        <v>26.5</v>
      </c>
      <c r="O28" s="9">
        <f t="shared" si="6"/>
        <v>41.5</v>
      </c>
      <c r="P28" s="22" t="s">
        <v>23</v>
      </c>
      <c r="Q28" s="8">
        <f t="shared" si="7"/>
        <v>0.5</v>
      </c>
      <c r="R28" s="22"/>
      <c r="S28" s="24" t="e">
        <f t="shared" si="8"/>
        <v>#DIV/0!</v>
      </c>
      <c r="T28" s="8"/>
      <c r="U28" s="11" t="e">
        <f t="shared" si="9"/>
        <v>#DIV/0!</v>
      </c>
      <c r="V28" s="10" t="e">
        <f t="shared" si="10"/>
        <v>#DIV/0!</v>
      </c>
      <c r="W28" s="29"/>
      <c r="X28" s="12">
        <f t="shared" si="11"/>
        <v>0</v>
      </c>
      <c r="Y28" s="13" t="e">
        <f t="shared" si="12"/>
        <v>#DIV/0!</v>
      </c>
      <c r="Z28" s="14" t="e">
        <f t="shared" si="13"/>
        <v>#DIV/0!</v>
      </c>
      <c r="AA28" s="14"/>
      <c r="AC28" s="4"/>
    </row>
    <row r="29" spans="1:29" x14ac:dyDescent="0.3">
      <c r="A29" s="6"/>
      <c r="B29" s="7"/>
      <c r="C29" s="7"/>
      <c r="D29" s="7"/>
      <c r="E29" s="7"/>
      <c r="F29" s="27"/>
      <c r="G29" s="27"/>
      <c r="H29" s="27"/>
      <c r="I29" s="5">
        <f t="shared" si="1"/>
        <v>0</v>
      </c>
      <c r="J29" s="10"/>
      <c r="K29" s="9">
        <f t="shared" si="2"/>
        <v>0</v>
      </c>
      <c r="L29" s="9">
        <f t="shared" si="3"/>
        <v>0</v>
      </c>
      <c r="M29" s="9">
        <f t="shared" si="14"/>
        <v>0</v>
      </c>
      <c r="N29" s="9">
        <f t="shared" si="5"/>
        <v>26.5</v>
      </c>
      <c r="O29" s="9">
        <f t="shared" si="6"/>
        <v>41.5</v>
      </c>
      <c r="P29" s="22" t="s">
        <v>23</v>
      </c>
      <c r="Q29" s="8">
        <f t="shared" si="7"/>
        <v>0.5</v>
      </c>
      <c r="R29" s="22"/>
      <c r="S29" s="24" t="e">
        <f t="shared" si="8"/>
        <v>#DIV/0!</v>
      </c>
      <c r="T29" s="8"/>
      <c r="U29" s="11" t="e">
        <f t="shared" si="9"/>
        <v>#DIV/0!</v>
      </c>
      <c r="V29" s="10" t="e">
        <f t="shared" si="10"/>
        <v>#DIV/0!</v>
      </c>
      <c r="W29" s="29"/>
      <c r="X29" s="12">
        <f t="shared" si="11"/>
        <v>0</v>
      </c>
      <c r="Y29" s="13" t="e">
        <f t="shared" si="12"/>
        <v>#DIV/0!</v>
      </c>
      <c r="Z29" s="14" t="e">
        <f t="shared" si="13"/>
        <v>#DIV/0!</v>
      </c>
      <c r="AA29" s="14"/>
      <c r="AC29" s="4"/>
    </row>
    <row r="30" spans="1:29" x14ac:dyDescent="0.3">
      <c r="A30" s="6"/>
      <c r="B30" s="7"/>
      <c r="C30" s="7"/>
      <c r="D30" s="7"/>
      <c r="E30" s="7"/>
      <c r="F30" s="27"/>
      <c r="G30" s="27"/>
      <c r="H30" s="27"/>
      <c r="I30" s="5">
        <f t="shared" si="1"/>
        <v>0</v>
      </c>
      <c r="J30" s="10"/>
      <c r="K30" s="9">
        <f t="shared" si="2"/>
        <v>0</v>
      </c>
      <c r="L30" s="9">
        <f t="shared" si="3"/>
        <v>0</v>
      </c>
      <c r="M30" s="9">
        <f t="shared" si="14"/>
        <v>0</v>
      </c>
      <c r="N30" s="9">
        <f t="shared" si="5"/>
        <v>26.5</v>
      </c>
      <c r="O30" s="9">
        <f t="shared" si="6"/>
        <v>41.5</v>
      </c>
      <c r="P30" s="22" t="s">
        <v>23</v>
      </c>
      <c r="Q30" s="8">
        <f t="shared" si="7"/>
        <v>0.5</v>
      </c>
      <c r="R30" s="22"/>
      <c r="S30" s="24" t="e">
        <f t="shared" si="8"/>
        <v>#DIV/0!</v>
      </c>
      <c r="T30" s="8"/>
      <c r="U30" s="11" t="e">
        <f t="shared" si="9"/>
        <v>#DIV/0!</v>
      </c>
      <c r="V30" s="10" t="e">
        <f t="shared" si="10"/>
        <v>#DIV/0!</v>
      </c>
      <c r="W30" s="29"/>
      <c r="X30" s="12">
        <f t="shared" si="11"/>
        <v>0</v>
      </c>
      <c r="Y30" s="13" t="e">
        <f t="shared" si="12"/>
        <v>#DIV/0!</v>
      </c>
      <c r="Z30" s="14" t="e">
        <f t="shared" si="13"/>
        <v>#DIV/0!</v>
      </c>
      <c r="AA30" s="14"/>
      <c r="AC30" s="4"/>
    </row>
    <row r="31" spans="1:29" x14ac:dyDescent="0.3">
      <c r="A31" s="6"/>
      <c r="B31" s="7"/>
      <c r="C31" s="7"/>
      <c r="D31" s="7"/>
      <c r="E31" s="7"/>
      <c r="F31" s="27"/>
      <c r="G31" s="27"/>
      <c r="H31" s="27"/>
      <c r="I31" s="5">
        <f t="shared" si="1"/>
        <v>0</v>
      </c>
      <c r="J31" s="10"/>
      <c r="K31" s="9">
        <f t="shared" si="2"/>
        <v>0</v>
      </c>
      <c r="L31" s="9">
        <f t="shared" si="3"/>
        <v>0</v>
      </c>
      <c r="M31" s="9">
        <f t="shared" si="14"/>
        <v>0</v>
      </c>
      <c r="N31" s="9">
        <f t="shared" si="5"/>
        <v>26.5</v>
      </c>
      <c r="O31" s="9">
        <f t="shared" si="6"/>
        <v>41.5</v>
      </c>
      <c r="P31" s="22" t="s">
        <v>23</v>
      </c>
      <c r="Q31" s="8">
        <f t="shared" si="7"/>
        <v>0.5</v>
      </c>
      <c r="R31" s="22"/>
      <c r="S31" s="24" t="e">
        <f t="shared" si="8"/>
        <v>#DIV/0!</v>
      </c>
      <c r="T31" s="8"/>
      <c r="U31" s="11" t="e">
        <f t="shared" si="9"/>
        <v>#DIV/0!</v>
      </c>
      <c r="V31" s="10" t="e">
        <f t="shared" si="10"/>
        <v>#DIV/0!</v>
      </c>
      <c r="W31" s="29"/>
      <c r="X31" s="12">
        <f t="shared" si="11"/>
        <v>0</v>
      </c>
      <c r="Y31" s="13" t="e">
        <f t="shared" si="12"/>
        <v>#DIV/0!</v>
      </c>
      <c r="Z31" s="14" t="e">
        <f t="shared" si="13"/>
        <v>#DIV/0!</v>
      </c>
      <c r="AA31" s="14"/>
      <c r="AC31" s="4"/>
    </row>
    <row r="32" spans="1:29" x14ac:dyDescent="0.3">
      <c r="A32" s="6"/>
      <c r="B32" s="7"/>
      <c r="C32" s="7"/>
      <c r="D32" s="7"/>
      <c r="E32" s="7"/>
      <c r="F32" s="27"/>
      <c r="G32" s="27"/>
      <c r="H32" s="27"/>
      <c r="I32" s="5">
        <f t="shared" si="1"/>
        <v>0</v>
      </c>
      <c r="J32" s="10"/>
      <c r="K32" s="9">
        <f t="shared" si="2"/>
        <v>0</v>
      </c>
      <c r="L32" s="9">
        <f t="shared" si="3"/>
        <v>0</v>
      </c>
      <c r="M32" s="9">
        <f t="shared" si="14"/>
        <v>0</v>
      </c>
      <c r="N32" s="9">
        <f t="shared" si="5"/>
        <v>26.5</v>
      </c>
      <c r="O32" s="9">
        <f t="shared" si="6"/>
        <v>41.5</v>
      </c>
      <c r="P32" s="22" t="s">
        <v>23</v>
      </c>
      <c r="Q32" s="8">
        <f t="shared" si="7"/>
        <v>0.5</v>
      </c>
      <c r="R32" s="22"/>
      <c r="S32" s="24" t="e">
        <f t="shared" si="8"/>
        <v>#DIV/0!</v>
      </c>
      <c r="T32" s="8"/>
      <c r="U32" s="11" t="e">
        <f t="shared" si="9"/>
        <v>#DIV/0!</v>
      </c>
      <c r="V32" s="10" t="e">
        <f t="shared" si="10"/>
        <v>#DIV/0!</v>
      </c>
      <c r="W32" s="29"/>
      <c r="X32" s="12">
        <f t="shared" si="11"/>
        <v>0</v>
      </c>
      <c r="Y32" s="13" t="e">
        <f t="shared" si="12"/>
        <v>#DIV/0!</v>
      </c>
      <c r="Z32" s="14" t="e">
        <f t="shared" si="13"/>
        <v>#DIV/0!</v>
      </c>
      <c r="AA32" s="14"/>
      <c r="AC32" s="4"/>
    </row>
    <row r="33" spans="1:29" x14ac:dyDescent="0.3">
      <c r="A33" s="6"/>
      <c r="B33" s="7"/>
      <c r="C33" s="7"/>
      <c r="D33" s="7"/>
      <c r="E33" s="7"/>
      <c r="F33" s="27"/>
      <c r="G33" s="27"/>
      <c r="H33" s="27"/>
      <c r="I33" s="5">
        <f t="shared" si="1"/>
        <v>0</v>
      </c>
      <c r="J33" s="10"/>
      <c r="K33" s="9">
        <f t="shared" si="2"/>
        <v>0</v>
      </c>
      <c r="L33" s="9">
        <f t="shared" si="3"/>
        <v>0</v>
      </c>
      <c r="M33" s="9">
        <f t="shared" si="14"/>
        <v>0</v>
      </c>
      <c r="N33" s="9">
        <f t="shared" si="5"/>
        <v>26.5</v>
      </c>
      <c r="O33" s="9">
        <f t="shared" si="6"/>
        <v>41.5</v>
      </c>
      <c r="P33" s="22" t="s">
        <v>23</v>
      </c>
      <c r="Q33" s="8">
        <f t="shared" si="7"/>
        <v>0.5</v>
      </c>
      <c r="R33" s="22"/>
      <c r="S33" s="24" t="e">
        <f t="shared" si="8"/>
        <v>#DIV/0!</v>
      </c>
      <c r="T33" s="8"/>
      <c r="U33" s="11" t="e">
        <f t="shared" si="9"/>
        <v>#DIV/0!</v>
      </c>
      <c r="V33" s="10" t="e">
        <f t="shared" si="10"/>
        <v>#DIV/0!</v>
      </c>
      <c r="W33" s="29"/>
      <c r="X33" s="12">
        <f t="shared" si="11"/>
        <v>0</v>
      </c>
      <c r="Y33" s="13" t="e">
        <f t="shared" si="12"/>
        <v>#DIV/0!</v>
      </c>
      <c r="Z33" s="14" t="e">
        <f t="shared" si="13"/>
        <v>#DIV/0!</v>
      </c>
      <c r="AA33" s="14"/>
      <c r="AC33" s="4"/>
    </row>
    <row r="34" spans="1:29" x14ac:dyDescent="0.3">
      <c r="A34" s="6"/>
      <c r="B34" s="7"/>
      <c r="C34" s="7"/>
      <c r="D34" s="7"/>
      <c r="E34" s="7"/>
      <c r="F34" s="27"/>
      <c r="G34" s="27"/>
      <c r="H34" s="27"/>
      <c r="I34" s="5">
        <f t="shared" si="1"/>
        <v>0</v>
      </c>
      <c r="J34" s="10"/>
      <c r="K34" s="9">
        <f t="shared" si="2"/>
        <v>0</v>
      </c>
      <c r="L34" s="9">
        <f t="shared" si="3"/>
        <v>0</v>
      </c>
      <c r="M34" s="9">
        <f t="shared" si="14"/>
        <v>0</v>
      </c>
      <c r="N34" s="9">
        <f t="shared" si="5"/>
        <v>26.5</v>
      </c>
      <c r="O34" s="9">
        <f t="shared" si="6"/>
        <v>41.5</v>
      </c>
      <c r="P34" s="22" t="s">
        <v>23</v>
      </c>
      <c r="Q34" s="8">
        <f t="shared" si="7"/>
        <v>0.5</v>
      </c>
      <c r="R34" s="22"/>
      <c r="S34" s="24" t="e">
        <f t="shared" si="8"/>
        <v>#DIV/0!</v>
      </c>
      <c r="T34" s="8"/>
      <c r="U34" s="11" t="e">
        <f t="shared" si="9"/>
        <v>#DIV/0!</v>
      </c>
      <c r="V34" s="10" t="e">
        <f t="shared" si="10"/>
        <v>#DIV/0!</v>
      </c>
      <c r="W34" s="29"/>
      <c r="X34" s="12">
        <f t="shared" si="11"/>
        <v>0</v>
      </c>
      <c r="Y34" s="13" t="e">
        <f t="shared" si="12"/>
        <v>#DIV/0!</v>
      </c>
      <c r="Z34" s="14" t="e">
        <f t="shared" si="13"/>
        <v>#DIV/0!</v>
      </c>
      <c r="AA34" s="14"/>
      <c r="AC34" s="4"/>
    </row>
    <row r="35" spans="1:29" x14ac:dyDescent="0.3">
      <c r="A35" t="s">
        <v>11</v>
      </c>
      <c r="B35" s="3" t="s">
        <v>24</v>
      </c>
      <c r="I35" s="5"/>
      <c r="K35" s="9"/>
      <c r="L35" s="9"/>
      <c r="M35" s="9"/>
      <c r="N35" s="9"/>
      <c r="O35" s="9"/>
      <c r="Q35" s="8"/>
      <c r="S35" s="24"/>
      <c r="U35" s="11"/>
      <c r="V35" s="10"/>
      <c r="X35" s="12"/>
      <c r="Y35" s="13"/>
      <c r="Z35" s="14"/>
      <c r="AA35" s="14"/>
      <c r="AC35" s="4"/>
    </row>
    <row r="36" spans="1:29" x14ac:dyDescent="0.3">
      <c r="A36" t="s">
        <v>13</v>
      </c>
      <c r="B36" s="3">
        <v>1.5</v>
      </c>
      <c r="I36" s="5"/>
      <c r="K36" s="9"/>
      <c r="L36" s="9"/>
      <c r="M36" s="9"/>
      <c r="N36" s="9"/>
      <c r="O36" s="9"/>
      <c r="Q36" s="8"/>
      <c r="S36" s="24"/>
      <c r="U36" s="11"/>
      <c r="V36" s="10"/>
      <c r="X36" s="12"/>
      <c r="Y36" s="13"/>
      <c r="Z36" s="14"/>
      <c r="AA36" s="14"/>
      <c r="AC36" s="4"/>
    </row>
    <row r="37" spans="1:29" x14ac:dyDescent="0.3">
      <c r="A37" t="s">
        <v>14</v>
      </c>
      <c r="B37" s="3">
        <v>1.4</v>
      </c>
      <c r="I37" s="5"/>
      <c r="K37" s="9"/>
      <c r="L37" s="9"/>
      <c r="M37" s="9"/>
      <c r="N37" s="9"/>
      <c r="O37" s="9"/>
      <c r="Q37" s="8"/>
      <c r="S37" s="24"/>
      <c r="U37" s="11"/>
      <c r="V37" s="10"/>
      <c r="X37" s="12"/>
      <c r="Y37" s="13"/>
      <c r="Z37" s="14"/>
      <c r="AA37" s="14"/>
      <c r="AC37" s="4"/>
    </row>
    <row r="38" spans="1:29" x14ac:dyDescent="0.3">
      <c r="A38" t="s">
        <v>15</v>
      </c>
      <c r="B38" s="3">
        <v>1.3</v>
      </c>
      <c r="I38" s="5"/>
      <c r="K38" s="9"/>
      <c r="L38" s="9"/>
      <c r="M38" s="9"/>
      <c r="N38" s="9"/>
      <c r="O38" s="9"/>
      <c r="Q38" s="8"/>
      <c r="S38" s="24"/>
      <c r="U38" s="11"/>
      <c r="V38" s="10"/>
      <c r="X38" s="12"/>
      <c r="Y38" s="13"/>
      <c r="Z38" s="14"/>
      <c r="AA38" s="14"/>
      <c r="AC38" s="4"/>
    </row>
    <row r="39" spans="1:29" x14ac:dyDescent="0.3">
      <c r="A39" t="s">
        <v>16</v>
      </c>
      <c r="B39" s="3">
        <v>1.2</v>
      </c>
      <c r="I39" s="5"/>
      <c r="K39" s="9"/>
      <c r="L39" s="9"/>
      <c r="M39" s="9"/>
      <c r="N39" s="9"/>
      <c r="O39" s="9"/>
      <c r="Q39" s="8"/>
      <c r="S39" s="24"/>
      <c r="U39" s="11"/>
      <c r="V39" s="10"/>
      <c r="X39" s="12"/>
      <c r="Y39" s="13"/>
      <c r="Z39" s="14"/>
      <c r="AA39" s="14"/>
      <c r="AC39" s="4"/>
    </row>
    <row r="40" spans="1:29" x14ac:dyDescent="0.3">
      <c r="A40" t="s">
        <v>17</v>
      </c>
      <c r="B40" s="3">
        <v>1.1000000000000001</v>
      </c>
      <c r="I40" s="5"/>
      <c r="K40" s="9"/>
      <c r="L40" s="9"/>
      <c r="M40" s="9"/>
      <c r="N40" s="9"/>
      <c r="O40" s="9"/>
      <c r="Q40" s="8"/>
      <c r="S40" s="24"/>
      <c r="U40" s="11"/>
      <c r="V40" s="10"/>
      <c r="X40" s="12"/>
      <c r="Y40" s="13"/>
      <c r="Z40" s="14"/>
      <c r="AA40" s="14"/>
      <c r="AC40" s="4"/>
    </row>
    <row r="41" spans="1:29" x14ac:dyDescent="0.3">
      <c r="A41" t="s">
        <v>18</v>
      </c>
      <c r="B41" s="3">
        <v>1</v>
      </c>
      <c r="I41" s="5"/>
      <c r="K41" s="9"/>
      <c r="L41" s="9"/>
      <c r="M41" s="9"/>
      <c r="N41" s="9"/>
      <c r="O41" s="9"/>
      <c r="Q41" s="8"/>
      <c r="S41" s="24"/>
      <c r="U41" s="11"/>
      <c r="V41" s="10"/>
      <c r="X41" s="12"/>
      <c r="Y41" s="13"/>
      <c r="Z41" s="14"/>
      <c r="AA41" s="14"/>
      <c r="AC41" s="4"/>
    </row>
    <row r="42" spans="1:29" x14ac:dyDescent="0.3">
      <c r="A42" t="s">
        <v>19</v>
      </c>
      <c r="B42" s="3">
        <v>0.95</v>
      </c>
      <c r="I42" s="5"/>
      <c r="K42" s="9"/>
      <c r="L42" s="9"/>
      <c r="M42" s="9"/>
      <c r="N42" s="9"/>
      <c r="O42" s="9"/>
      <c r="Q42" s="8"/>
      <c r="S42" s="24"/>
      <c r="U42" s="11"/>
      <c r="V42" s="10"/>
      <c r="X42" s="12"/>
      <c r="Y42" s="13"/>
      <c r="Z42" s="14"/>
      <c r="AA42" s="14"/>
      <c r="AC42" s="4"/>
    </row>
    <row r="43" spans="1:29" x14ac:dyDescent="0.3">
      <c r="A43" t="s">
        <v>20</v>
      </c>
      <c r="B43" s="3">
        <v>0.9</v>
      </c>
      <c r="I43" s="5"/>
      <c r="K43" s="9"/>
      <c r="L43" s="9"/>
      <c r="M43" s="9"/>
      <c r="N43" s="9"/>
      <c r="O43" s="9"/>
      <c r="Q43" s="8"/>
      <c r="S43" s="24"/>
      <c r="U43" s="11"/>
      <c r="V43" s="10"/>
      <c r="X43" s="12"/>
      <c r="Y43" s="13"/>
      <c r="Z43" s="14"/>
      <c r="AA43" s="14"/>
      <c r="AC43" s="4"/>
    </row>
    <row r="44" spans="1:29" x14ac:dyDescent="0.3">
      <c r="A44" t="s">
        <v>21</v>
      </c>
      <c r="B44" s="3">
        <v>0.85</v>
      </c>
      <c r="I44" s="5"/>
      <c r="K44" s="9"/>
      <c r="L44" s="9"/>
      <c r="M44" s="9"/>
      <c r="N44" s="9"/>
      <c r="O44" s="9"/>
      <c r="Q44" s="8"/>
      <c r="S44" s="24"/>
      <c r="U44" s="11"/>
      <c r="V44" s="10"/>
      <c r="X44" s="12"/>
      <c r="Y44" s="13"/>
      <c r="Z44" s="14"/>
      <c r="AA44" s="14"/>
      <c r="AC44" s="4"/>
    </row>
    <row r="45" spans="1:29" x14ac:dyDescent="0.3">
      <c r="A45" t="s">
        <v>22</v>
      </c>
      <c r="B45" s="3">
        <v>0.8</v>
      </c>
      <c r="I45" s="5"/>
      <c r="K45" s="9"/>
      <c r="L45" s="9"/>
      <c r="M45" s="9"/>
      <c r="N45" s="9"/>
      <c r="O45" s="9"/>
      <c r="Q45" s="8"/>
      <c r="S45" s="24"/>
      <c r="U45" s="11"/>
      <c r="V45" s="10"/>
      <c r="X45" s="12"/>
      <c r="Y45" s="13"/>
      <c r="Z45" s="14"/>
      <c r="AA45" s="14"/>
      <c r="AC45" s="4"/>
    </row>
    <row r="46" spans="1:29" x14ac:dyDescent="0.3">
      <c r="A46" t="s">
        <v>23</v>
      </c>
      <c r="B46" s="3">
        <v>0.5</v>
      </c>
      <c r="I46" s="5"/>
      <c r="K46" s="9"/>
      <c r="L46" s="9"/>
      <c r="M46" s="9"/>
      <c r="N46" s="9"/>
      <c r="O46" s="9"/>
      <c r="Q46" s="8"/>
      <c r="S46" s="24"/>
      <c r="U46" s="11"/>
      <c r="V46" s="10"/>
      <c r="X46" s="12"/>
      <c r="Y46" s="13"/>
      <c r="Z46" s="14"/>
      <c r="AA46" s="14"/>
      <c r="AC46" s="4"/>
    </row>
  </sheetData>
  <dataValidations count="1">
    <dataValidation type="list" allowBlank="1" showInputMessage="1" showErrorMessage="1" sqref="P2:P34" xr:uid="{00000000-0002-0000-0000-000000000000}">
      <formula1>ИЛ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ИЛ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</dc:creator>
  <cp:lastModifiedBy>Павел Тяпин</cp:lastModifiedBy>
  <dcterms:created xsi:type="dcterms:W3CDTF">2024-10-07T20:20:31Z</dcterms:created>
  <dcterms:modified xsi:type="dcterms:W3CDTF">2025-09-21T21:04:08Z</dcterms:modified>
</cp:coreProperties>
</file>