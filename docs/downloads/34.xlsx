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Paul\Documents\"/>
    </mc:Choice>
  </mc:AlternateContent>
  <xr:revisionPtr revIDLastSave="0" documentId="13_ncr:1_{E60A9857-6054-4910-A1A7-D9E0A90973C5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Лист1" sheetId="1" r:id="rId1"/>
    <sheet name="вводные" sheetId="2" r:id="rId2"/>
  </sheets>
  <definedNames>
    <definedName name="ИЛ">вводные!$A$2:$A$12</definedName>
    <definedName name="Индекс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3" i="1" l="1"/>
  <c r="S4" i="1"/>
  <c r="S5" i="1"/>
  <c r="S6" i="1"/>
  <c r="S7" i="1"/>
  <c r="S8" i="1"/>
  <c r="S9" i="1"/>
  <c r="S10" i="1"/>
  <c r="S11" i="1"/>
  <c r="P11" i="1" s="1"/>
  <c r="S12" i="1"/>
  <c r="P12" i="1" s="1"/>
  <c r="Q12" i="1" s="1"/>
  <c r="S13" i="1"/>
  <c r="S14" i="1"/>
  <c r="S15" i="1"/>
  <c r="S16" i="1"/>
  <c r="S17" i="1"/>
  <c r="S18" i="1"/>
  <c r="S19" i="1"/>
  <c r="S20" i="1"/>
  <c r="S21" i="1"/>
  <c r="S22" i="1"/>
  <c r="S23" i="1"/>
  <c r="P23" i="1" s="1"/>
  <c r="S24" i="1"/>
  <c r="S25" i="1"/>
  <c r="P25" i="1" s="1"/>
  <c r="Q25" i="1" s="1"/>
  <c r="S26" i="1"/>
  <c r="S27" i="1"/>
  <c r="S28" i="1"/>
  <c r="S29" i="1"/>
  <c r="E3" i="1"/>
  <c r="I3" i="1"/>
  <c r="K3" i="1"/>
  <c r="L3" i="1"/>
  <c r="M3" i="1"/>
  <c r="O3" i="1"/>
  <c r="P3" i="1" s="1"/>
  <c r="Z3" i="1"/>
  <c r="E4" i="1"/>
  <c r="I4" i="1"/>
  <c r="K4" i="1"/>
  <c r="L4" i="1"/>
  <c r="M4" i="1"/>
  <c r="O4" i="1"/>
  <c r="P4" i="1" s="1"/>
  <c r="Z4" i="1"/>
  <c r="E5" i="1"/>
  <c r="I5" i="1"/>
  <c r="K5" i="1"/>
  <c r="L5" i="1"/>
  <c r="M5" i="1"/>
  <c r="O5" i="1"/>
  <c r="P5" i="1"/>
  <c r="Z5" i="1"/>
  <c r="E6" i="1"/>
  <c r="I6" i="1"/>
  <c r="K6" i="1"/>
  <c r="L6" i="1"/>
  <c r="M6" i="1"/>
  <c r="O6" i="1"/>
  <c r="P6" i="1"/>
  <c r="Z6" i="1"/>
  <c r="E7" i="1"/>
  <c r="I7" i="1"/>
  <c r="K7" i="1"/>
  <c r="L7" i="1"/>
  <c r="M7" i="1"/>
  <c r="P7" i="1" s="1"/>
  <c r="O7" i="1"/>
  <c r="Z7" i="1"/>
  <c r="E8" i="1"/>
  <c r="I8" i="1"/>
  <c r="K8" i="1"/>
  <c r="L8" i="1"/>
  <c r="M8" i="1"/>
  <c r="P8" i="1" s="1"/>
  <c r="O8" i="1"/>
  <c r="Z8" i="1"/>
  <c r="E9" i="1"/>
  <c r="I9" i="1"/>
  <c r="K9" i="1"/>
  <c r="L9" i="1"/>
  <c r="M9" i="1"/>
  <c r="O9" i="1"/>
  <c r="Z9" i="1"/>
  <c r="E10" i="1"/>
  <c r="I10" i="1"/>
  <c r="K10" i="1"/>
  <c r="L10" i="1"/>
  <c r="M10" i="1"/>
  <c r="O10" i="1"/>
  <c r="Z10" i="1"/>
  <c r="E11" i="1"/>
  <c r="I11" i="1"/>
  <c r="K11" i="1"/>
  <c r="L11" i="1"/>
  <c r="M11" i="1"/>
  <c r="O11" i="1"/>
  <c r="Z11" i="1"/>
  <c r="E12" i="1"/>
  <c r="I12" i="1"/>
  <c r="K12" i="1"/>
  <c r="L12" i="1"/>
  <c r="M12" i="1"/>
  <c r="O12" i="1"/>
  <c r="Z12" i="1"/>
  <c r="E13" i="1"/>
  <c r="I13" i="1"/>
  <c r="K13" i="1"/>
  <c r="L13" i="1"/>
  <c r="M13" i="1"/>
  <c r="O13" i="1"/>
  <c r="Z13" i="1"/>
  <c r="E14" i="1"/>
  <c r="I14" i="1"/>
  <c r="K14" i="1"/>
  <c r="L14" i="1"/>
  <c r="M14" i="1"/>
  <c r="O14" i="1"/>
  <c r="Z14" i="1"/>
  <c r="E15" i="1"/>
  <c r="I15" i="1"/>
  <c r="K15" i="1"/>
  <c r="L15" i="1"/>
  <c r="M15" i="1"/>
  <c r="O15" i="1"/>
  <c r="P15" i="1" s="1"/>
  <c r="Z15" i="1"/>
  <c r="E16" i="1"/>
  <c r="I16" i="1"/>
  <c r="K16" i="1"/>
  <c r="L16" i="1"/>
  <c r="M16" i="1"/>
  <c r="O16" i="1"/>
  <c r="P16" i="1" s="1"/>
  <c r="Z16" i="1"/>
  <c r="E17" i="1"/>
  <c r="I17" i="1"/>
  <c r="K17" i="1"/>
  <c r="L17" i="1"/>
  <c r="M17" i="1"/>
  <c r="O17" i="1"/>
  <c r="P17" i="1"/>
  <c r="Z17" i="1"/>
  <c r="E18" i="1"/>
  <c r="I18" i="1"/>
  <c r="K18" i="1"/>
  <c r="L18" i="1"/>
  <c r="M18" i="1"/>
  <c r="O18" i="1"/>
  <c r="P18" i="1"/>
  <c r="Q18" i="1" s="1"/>
  <c r="Z18" i="1"/>
  <c r="E19" i="1"/>
  <c r="I19" i="1"/>
  <c r="K19" i="1"/>
  <c r="L19" i="1"/>
  <c r="M19" i="1"/>
  <c r="P19" i="1" s="1"/>
  <c r="O19" i="1"/>
  <c r="Z19" i="1"/>
  <c r="E20" i="1"/>
  <c r="I20" i="1"/>
  <c r="K20" i="1"/>
  <c r="L20" i="1"/>
  <c r="M20" i="1"/>
  <c r="O20" i="1"/>
  <c r="Z20" i="1"/>
  <c r="E21" i="1"/>
  <c r="I21" i="1"/>
  <c r="K21" i="1"/>
  <c r="L21" i="1"/>
  <c r="M21" i="1"/>
  <c r="O21" i="1"/>
  <c r="P21" i="1" s="1"/>
  <c r="Z21" i="1"/>
  <c r="E22" i="1"/>
  <c r="I22" i="1"/>
  <c r="K22" i="1"/>
  <c r="L22" i="1"/>
  <c r="M22" i="1"/>
  <c r="O22" i="1"/>
  <c r="Z22" i="1"/>
  <c r="E23" i="1"/>
  <c r="I23" i="1"/>
  <c r="K23" i="1"/>
  <c r="L23" i="1"/>
  <c r="M23" i="1"/>
  <c r="O23" i="1"/>
  <c r="Z23" i="1"/>
  <c r="E24" i="1"/>
  <c r="I24" i="1"/>
  <c r="K24" i="1"/>
  <c r="L24" i="1"/>
  <c r="M24" i="1"/>
  <c r="O24" i="1"/>
  <c r="P24" i="1"/>
  <c r="Z24" i="1"/>
  <c r="E25" i="1"/>
  <c r="I25" i="1"/>
  <c r="K25" i="1"/>
  <c r="L25" i="1"/>
  <c r="M25" i="1"/>
  <c r="O25" i="1"/>
  <c r="Z25" i="1"/>
  <c r="E26" i="1"/>
  <c r="I26" i="1"/>
  <c r="K26" i="1"/>
  <c r="L26" i="1"/>
  <c r="M26" i="1"/>
  <c r="O26" i="1"/>
  <c r="Z26" i="1"/>
  <c r="E27" i="1"/>
  <c r="I27" i="1"/>
  <c r="K27" i="1"/>
  <c r="L27" i="1"/>
  <c r="M27" i="1"/>
  <c r="O27" i="1"/>
  <c r="P27" i="1" s="1"/>
  <c r="Z27" i="1"/>
  <c r="E28" i="1"/>
  <c r="I28" i="1"/>
  <c r="K28" i="1"/>
  <c r="L28" i="1"/>
  <c r="M28" i="1"/>
  <c r="O28" i="1"/>
  <c r="P28" i="1" s="1"/>
  <c r="Z28" i="1"/>
  <c r="E29" i="1"/>
  <c r="I29" i="1"/>
  <c r="K29" i="1"/>
  <c r="L29" i="1"/>
  <c r="M29" i="1"/>
  <c r="O29" i="1"/>
  <c r="P29" i="1"/>
  <c r="Z29" i="1"/>
  <c r="AC2" i="1"/>
  <c r="P13" i="1" l="1"/>
  <c r="P9" i="1"/>
  <c r="P22" i="1"/>
  <c r="P20" i="1"/>
  <c r="Q20" i="1" s="1"/>
  <c r="U20" i="1" s="1"/>
  <c r="W20" i="1" s="1"/>
  <c r="P10" i="1"/>
  <c r="P26" i="1"/>
  <c r="Q26" i="1" s="1"/>
  <c r="U26" i="1" s="1"/>
  <c r="W26" i="1" s="1"/>
  <c r="P14" i="1"/>
  <c r="Q11" i="1"/>
  <c r="U11" i="1" s="1"/>
  <c r="W11" i="1" s="1"/>
  <c r="Q5" i="1"/>
  <c r="U5" i="1" s="1"/>
  <c r="W5" i="1" s="1"/>
  <c r="Q27" i="1"/>
  <c r="U27" i="1" s="1"/>
  <c r="W27" i="1" s="1"/>
  <c r="Q15" i="1"/>
  <c r="U15" i="1" s="1"/>
  <c r="W15" i="1" s="1"/>
  <c r="Q6" i="1"/>
  <c r="U6" i="1" s="1"/>
  <c r="W6" i="1" s="1"/>
  <c r="Q8" i="1"/>
  <c r="U8" i="1"/>
  <c r="W8" i="1" s="1"/>
  <c r="X8" i="1" s="1"/>
  <c r="Q9" i="1"/>
  <c r="U9" i="1" s="1"/>
  <c r="W9" i="1" s="1"/>
  <c r="X9" i="1" s="1"/>
  <c r="Q3" i="1"/>
  <c r="U3" i="1" s="1"/>
  <c r="W3" i="1" s="1"/>
  <c r="Q28" i="1"/>
  <c r="U28" i="1" s="1"/>
  <c r="W28" i="1" s="1"/>
  <c r="Q22" i="1"/>
  <c r="U22" i="1" s="1"/>
  <c r="W22" i="1" s="1"/>
  <c r="Q17" i="1"/>
  <c r="U17" i="1" s="1"/>
  <c r="W17" i="1" s="1"/>
  <c r="Q19" i="1"/>
  <c r="U19" i="1" s="1"/>
  <c r="W19" i="1" s="1"/>
  <c r="Q16" i="1"/>
  <c r="U16" i="1" s="1"/>
  <c r="W16" i="1" s="1"/>
  <c r="Q29" i="1"/>
  <c r="U29" i="1" s="1"/>
  <c r="W29" i="1" s="1"/>
  <c r="Q13" i="1"/>
  <c r="U13" i="1" s="1"/>
  <c r="W13" i="1" s="1"/>
  <c r="Q10" i="1"/>
  <c r="U10" i="1" s="1"/>
  <c r="W10" i="1" s="1"/>
  <c r="X10" i="1" s="1"/>
  <c r="Q4" i="1"/>
  <c r="U4" i="1" s="1"/>
  <c r="W4" i="1" s="1"/>
  <c r="Q14" i="1"/>
  <c r="U14" i="1"/>
  <c r="W14" i="1" s="1"/>
  <c r="X14" i="1" s="1"/>
  <c r="Q24" i="1"/>
  <c r="U24" i="1"/>
  <c r="W24" i="1" s="1"/>
  <c r="Q21" i="1"/>
  <c r="U21" i="1"/>
  <c r="W21" i="1" s="1"/>
  <c r="X21" i="1" s="1"/>
  <c r="Q23" i="1"/>
  <c r="U23" i="1" s="1"/>
  <c r="W23" i="1" s="1"/>
  <c r="Q7" i="1"/>
  <c r="U7" i="1"/>
  <c r="W7" i="1" s="1"/>
  <c r="X7" i="1" s="1"/>
  <c r="U25" i="1"/>
  <c r="W25" i="1" s="1"/>
  <c r="X25" i="1" s="1"/>
  <c r="U18" i="1"/>
  <c r="W18" i="1" s="1"/>
  <c r="U12" i="1"/>
  <c r="W12" i="1" s="1"/>
  <c r="E2" i="1"/>
  <c r="O2" i="1"/>
  <c r="M2" i="1"/>
  <c r="X15" i="1" l="1"/>
  <c r="AA15" i="1"/>
  <c r="X27" i="1"/>
  <c r="AA27" i="1"/>
  <c r="AB27" i="1" s="1"/>
  <c r="X28" i="1"/>
  <c r="AA28" i="1"/>
  <c r="AA14" i="1"/>
  <c r="X22" i="1"/>
  <c r="AA22" i="1"/>
  <c r="X20" i="1"/>
  <c r="AA20" i="1"/>
  <c r="X23" i="1"/>
  <c r="AA23" i="1"/>
  <c r="X26" i="1"/>
  <c r="AA26" i="1"/>
  <c r="X16" i="1"/>
  <c r="AA16" i="1"/>
  <c r="X4" i="1"/>
  <c r="AA4" i="1"/>
  <c r="X5" i="1"/>
  <c r="AA5" i="1"/>
  <c r="X17" i="1"/>
  <c r="AA17" i="1"/>
  <c r="X13" i="1"/>
  <c r="AA13" i="1"/>
  <c r="X11" i="1"/>
  <c r="AA11" i="1"/>
  <c r="AA10" i="1"/>
  <c r="X6" i="1"/>
  <c r="AA6" i="1"/>
  <c r="AB15" i="1"/>
  <c r="AC15" i="1"/>
  <c r="AC28" i="1"/>
  <c r="AB28" i="1"/>
  <c r="AA21" i="1"/>
  <c r="AC27" i="1"/>
  <c r="AA3" i="1"/>
  <c r="X3" i="1"/>
  <c r="X19" i="1"/>
  <c r="AA19" i="1"/>
  <c r="X12" i="1"/>
  <c r="AA12" i="1"/>
  <c r="X18" i="1"/>
  <c r="AA18" i="1"/>
  <c r="X29" i="1"/>
  <c r="AA29" i="1"/>
  <c r="AA7" i="1"/>
  <c r="AA8" i="1"/>
  <c r="X24" i="1"/>
  <c r="AA24" i="1"/>
  <c r="AA9" i="1"/>
  <c r="AA25" i="1"/>
  <c r="L2" i="1"/>
  <c r="K2" i="1"/>
  <c r="I2" i="1"/>
  <c r="Z2" i="1"/>
  <c r="S2" i="1"/>
  <c r="P2" i="1" s="1"/>
  <c r="AC14" i="1" l="1"/>
  <c r="AB14" i="1"/>
  <c r="AB3" i="1"/>
  <c r="AC3" i="1"/>
  <c r="AC4" i="1"/>
  <c r="AB4" i="1"/>
  <c r="AC25" i="1"/>
  <c r="AB25" i="1"/>
  <c r="AB10" i="1"/>
  <c r="AC10" i="1"/>
  <c r="AB23" i="1"/>
  <c r="AC23" i="1"/>
  <c r="AC6" i="1"/>
  <c r="AB6" i="1"/>
  <c r="AB19" i="1"/>
  <c r="AC19" i="1"/>
  <c r="AB26" i="1"/>
  <c r="AC26" i="1"/>
  <c r="AB12" i="1"/>
  <c r="AC12" i="1"/>
  <c r="AC8" i="1"/>
  <c r="AB8" i="1"/>
  <c r="AB17" i="1"/>
  <c r="AC17" i="1"/>
  <c r="AC20" i="1"/>
  <c r="AB20" i="1"/>
  <c r="AB16" i="1"/>
  <c r="AC16" i="1"/>
  <c r="AC11" i="1"/>
  <c r="AB11" i="1"/>
  <c r="AC7" i="1"/>
  <c r="AB7" i="1"/>
  <c r="AB13" i="1"/>
  <c r="AC13" i="1"/>
  <c r="AB29" i="1"/>
  <c r="AC29" i="1"/>
  <c r="AB18" i="1"/>
  <c r="AC18" i="1"/>
  <c r="AC5" i="1"/>
  <c r="AB5" i="1"/>
  <c r="AC22" i="1"/>
  <c r="AB22" i="1"/>
  <c r="AC9" i="1"/>
  <c r="AB9" i="1"/>
  <c r="AB24" i="1"/>
  <c r="AC24" i="1"/>
  <c r="AB21" i="1"/>
  <c r="AC21" i="1"/>
  <c r="Q2" i="1"/>
  <c r="U2" i="1" s="1"/>
  <c r="W2" i="1" s="1"/>
  <c r="AA2" i="1" l="1"/>
  <c r="AB2" i="1" s="1"/>
  <c r="X2" i="1"/>
</calcChain>
</file>

<file path=xl/sharedStrings.xml><?xml version="1.0" encoding="utf-8"?>
<sst xmlns="http://schemas.openxmlformats.org/spreadsheetml/2006/main" count="93" uniqueCount="65">
  <si>
    <t>Наименование</t>
  </si>
  <si>
    <t>Цена в ЛК</t>
  </si>
  <si>
    <t>Себестоимость</t>
  </si>
  <si>
    <t>Доп. Расходы</t>
  </si>
  <si>
    <t>Цена до склада</t>
  </si>
  <si>
    <t>Эквайринг</t>
  </si>
  <si>
    <t>Комиссия (%)</t>
  </si>
  <si>
    <t>Комиссия (руб)</t>
  </si>
  <si>
    <t>% выкупа</t>
  </si>
  <si>
    <t>Обратная логистика</t>
  </si>
  <si>
    <t>Итоговая логистика</t>
  </si>
  <si>
    <t>кэф</t>
  </si>
  <si>
    <t>ДРР</t>
  </si>
  <si>
    <t>Длина (см)</t>
  </si>
  <si>
    <t>Ширина (см)</t>
  </si>
  <si>
    <t>Высота (см)</t>
  </si>
  <si>
    <t>Объем товара (л)</t>
  </si>
  <si>
    <t>Всего удержаний OZON</t>
  </si>
  <si>
    <t>% Удержаний</t>
  </si>
  <si>
    <t>Налог (%)</t>
  </si>
  <si>
    <t>Налог (руб)</t>
  </si>
  <si>
    <t>Прибыль на 1 ед.</t>
  </si>
  <si>
    <t>Рентабельность</t>
  </si>
  <si>
    <t>Среднее время доставки, часы</t>
  </si>
  <si>
    <t>Коэффициент к базовому тарифу логистики</t>
  </si>
  <si>
    <t>СВД</t>
  </si>
  <si>
    <t>Процент от цены товара</t>
  </si>
  <si>
    <t>Доставка до места</t>
  </si>
  <si>
    <t>Объём товара</t>
  </si>
  <si>
    <t>Тариф с НДС</t>
  </si>
  <si>
    <t>0 – 0,200 л</t>
  </si>
  <si>
    <t>17,28 ₽ </t>
  </si>
  <si>
    <t>0,201 – 0,400 л</t>
  </si>
  <si>
    <t>0,401 – 0,600 л</t>
  </si>
  <si>
    <t>21,35 ₽</t>
  </si>
  <si>
    <t>0,601 – 0,800 л</t>
  </si>
  <si>
    <t>0,801 – 1 л</t>
  </si>
  <si>
    <t>1,001 – 1,250 л</t>
  </si>
  <si>
    <t>25,42 ₽</t>
  </si>
  <si>
    <t>1,251 – 1,500 л</t>
  </si>
  <si>
    <t>1,501 – 1,750 л</t>
  </si>
  <si>
    <t>27,45 ₽</t>
  </si>
  <si>
    <t>1,751 – 2 л</t>
  </si>
  <si>
    <t>2,001 – 3 л</t>
  </si>
  <si>
    <t>3,001 – 4 л</t>
  </si>
  <si>
    <t>4,001 – 5 л</t>
  </si>
  <si>
    <t>5,001 – 6 л</t>
  </si>
  <si>
    <t>6,001 – 7 л</t>
  </si>
  <si>
    <t>7,001 – 8 л</t>
  </si>
  <si>
    <t>8,001 – 9 л</t>
  </si>
  <si>
    <t>9,001 – 10 л</t>
  </si>
  <si>
    <t>10,001 – 11 л</t>
  </si>
  <si>
    <t>11,001 – 12 л</t>
  </si>
  <si>
    <t>12,001 – 13 л</t>
  </si>
  <si>
    <t>13,001 – 14 л</t>
  </si>
  <si>
    <t>92,52 ₽</t>
  </si>
  <si>
    <t>14,001 – 15 л</t>
  </si>
  <si>
    <t>15,001 – 17 л</t>
  </si>
  <si>
    <t>17,001 – 20 л</t>
  </si>
  <si>
    <t>20,001 – 25 л</t>
  </si>
  <si>
    <t>до 300 руб</t>
  </si>
  <si>
    <t>тариф доставки</t>
  </si>
  <si>
    <t>итог. Логистика</t>
  </si>
  <si>
    <t>объем товара</t>
  </si>
  <si>
    <t>товар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</si>
</sst>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₽&quot;;[Red]\-#,##0.00\ &quot;₽&quot;"/>
    <numFmt numFmtId="44" formatCode="_-* #,##0.00\ &quot;₽&quot;_-;\-* #,##0.00\ &quot;₽&quot;_-;_-* &quot;-&quot;??\ &quot;₽&quot;_-;_-@_-"/>
  </numFmts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9"/>
      <color theme="1"/>
      <name val="Bahnschrift"/>
      <family val="2"/>
      <charset val="204"/>
    </font>
    <font>
      <sz val="9"/>
      <color theme="0"/>
      <name val="Bahnschrift"/>
      <family val="2"/>
      <charset val="204"/>
    </font>
    <font>
      <sz val="11"/>
      <color theme="1"/>
      <name val="Arial"/>
      <family val="2"/>
      <charset val="204"/>
    </font>
    <font>
      <i/>
      <sz val="11"/>
      <color theme="1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sz val="8"/>
      <name val="Calibri"/>
      <family val="2"/>
      <charset val="204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9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1">
    <xf numFmtId="0" fontId="0" fillId="0" borderId="0" xfId="0"/>
    <xf numFmtId="9" fontId="0" fillId="0" borderId="0" xfId="2" applyFont="1"/>
    <xf numFmtId="2" fontId="0" fillId="0" borderId="0" xfId="0" applyNumberFormat="1"/>
    <xf numFmtId="44" fontId="0" fillId="0" borderId="0" xfId="1" applyFont="1"/>
    <xf numFmtId="0" fontId="0" fillId="3" borderId="1" xfId="0" applyFill="1" applyBorder="1"/>
    <xf numFmtId="0" fontId="2" fillId="5" borderId="1" xfId="0" applyFont="1" applyFill="1" applyBorder="1"/>
    <xf numFmtId="44" fontId="2" fillId="5" borderId="1" xfId="1" applyFont="1" applyFill="1" applyBorder="1"/>
    <xf numFmtId="9" fontId="2" fillId="5" borderId="1" xfId="2" applyFont="1" applyFill="1" applyBorder="1"/>
    <xf numFmtId="44" fontId="2" fillId="6" borderId="1" xfId="0" applyNumberFormat="1" applyFont="1" applyFill="1" applyBorder="1"/>
    <xf numFmtId="9" fontId="2" fillId="6" borderId="1" xfId="2" applyFont="1" applyFill="1" applyBorder="1"/>
    <xf numFmtId="0" fontId="3" fillId="3" borderId="1" xfId="0" applyFont="1" applyFill="1" applyBorder="1" applyAlignment="1">
      <alignment horizontal="center" vertical="center"/>
    </xf>
    <xf numFmtId="9" fontId="4" fillId="5" borderId="1" xfId="2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2" fillId="7" borderId="1" xfId="0" applyFont="1" applyFill="1" applyBorder="1"/>
    <xf numFmtId="44" fontId="3" fillId="2" borderId="1" xfId="1" applyFont="1" applyFill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center" vertical="center"/>
    </xf>
    <xf numFmtId="2" fontId="0" fillId="3" borderId="1" xfId="0" applyNumberFormat="1" applyFill="1" applyBorder="1"/>
    <xf numFmtId="9" fontId="4" fillId="4" borderId="1" xfId="2" applyFont="1" applyFill="1" applyBorder="1" applyAlignment="1">
      <alignment horizontal="center" vertical="center"/>
    </xf>
    <xf numFmtId="9" fontId="2" fillId="4" borderId="1" xfId="2" applyFont="1" applyFill="1" applyBorder="1"/>
    <xf numFmtId="0" fontId="5" fillId="8" borderId="3" xfId="0" applyFont="1" applyFill="1" applyBorder="1" applyAlignment="1">
      <alignment horizontal="left" vertical="center" wrapText="1"/>
    </xf>
    <xf numFmtId="10" fontId="5" fillId="8" borderId="3" xfId="0" applyNumberFormat="1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left" vertical="center" wrapText="1"/>
    </xf>
    <xf numFmtId="8" fontId="5" fillId="8" borderId="3" xfId="0" applyNumberFormat="1" applyFont="1" applyFill="1" applyBorder="1" applyAlignment="1">
      <alignment horizontal="left" vertical="center" wrapText="1"/>
    </xf>
    <xf numFmtId="0" fontId="4" fillId="5" borderId="4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44" fontId="4" fillId="11" borderId="1" xfId="1" applyFont="1" applyFill="1" applyBorder="1" applyAlignment="1">
      <alignment horizontal="center" vertical="center"/>
    </xf>
    <xf numFmtId="44" fontId="2" fillId="11" borderId="1" xfId="1" applyFont="1" applyFill="1" applyBorder="1"/>
    <xf numFmtId="44" fontId="0" fillId="2" borderId="6" xfId="1" applyFont="1" applyFill="1" applyBorder="1"/>
    <xf numFmtId="0" fontId="0" fillId="10" borderId="1" xfId="0" applyFill="1" applyBorder="1"/>
    <xf numFmtId="0" fontId="0" fillId="9" borderId="1" xfId="0" applyFill="1" applyBorder="1"/>
    <xf numFmtId="44" fontId="0" fillId="0" borderId="1" xfId="1" applyFont="1" applyBorder="1"/>
    <xf numFmtId="0" fontId="0" fillId="0" borderId="1" xfId="0" applyBorder="1"/>
    <xf numFmtId="2" fontId="0" fillId="0" borderId="1" xfId="0" applyNumberFormat="1" applyBorder="1"/>
    <xf numFmtId="9" fontId="0" fillId="0" borderId="1" xfId="2" applyFont="1" applyBorder="1"/>
    <xf numFmtId="0" fontId="0" fillId="8" borderId="1" xfId="0" applyFill="1" applyBorder="1"/>
    <xf numFmtId="44" fontId="0" fillId="8" borderId="1" xfId="1" applyFont="1" applyFill="1" applyBorder="1"/>
    <xf numFmtId="2" fontId="0" fillId="8" borderId="1" xfId="0" applyNumberFormat="1" applyFill="1" applyBorder="1"/>
    <xf numFmtId="9" fontId="0" fillId="8" borderId="1" xfId="2" applyFont="1" applyFill="1" applyBorder="1"/>
    <xf numFmtId="9" fontId="2" fillId="8" borderId="1" xfId="2" applyFont="1" applyFill="1" applyBorder="1"/>
    <xf numFmtId="44" fontId="2" fillId="8" borderId="1" xfId="1" applyFont="1" applyFill="1" applyBorder="1"/>
    <xf numFmtId="0" fontId="2" fillId="8" borderId="1" xfId="0" applyFont="1" applyFill="1" applyBorder="1"/>
    <xf numFmtId="44" fontId="2" fillId="8" borderId="1" xfId="0" applyNumberFormat="1" applyFont="1" applyFill="1" applyBorder="1"/>
    <xf numFmtId="0" fontId="3" fillId="8" borderId="1" xfId="0" applyFont="1" applyFill="1" applyBorder="1" applyAlignment="1">
      <alignment horizontal="center" vertical="center"/>
    </xf>
    <xf numFmtId="0" fontId="6" fillId="8" borderId="5" xfId="0" applyFont="1" applyFill="1" applyBorder="1"/>
    <xf numFmtId="0" fontId="6" fillId="8" borderId="7" xfId="0" applyFont="1" applyFill="1" applyBorder="1"/>
    <xf numFmtId="0" fontId="4" fillId="12" borderId="1" xfId="0" applyFont="1" applyFill="1" applyBorder="1" applyAlignment="1">
      <alignment horizontal="center" vertical="center"/>
    </xf>
    <xf numFmtId="44" fontId="2" fillId="12" borderId="1" xfId="1" applyFont="1" applyFill="1" applyBorder="1"/>
    <xf numFmtId="44" fontId="0" fillId="8" borderId="1" xfId="0" applyNumberFormat="1" applyFill="1" applyBorder="1"/>
    <xf numFmtId="44" fontId="2" fillId="12" borderId="1" xfId="0" applyNumberFormat="1" applyFont="1" applyFill="1" applyBorder="1"/>
  </cellXfs>
  <cellStyles count="3">
    <cellStyle name="Денежный" xfId="1" builtinId="4"/>
    <cellStyle name="Обычный" xfId="0" builtinId="0"/>
    <cellStyle name="Процентный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4"/>
  <sheetViews>
    <sheetView workbookViewId="0">
      <pane xSplit="5" topLeftCell="S1" activePane="topRight" state="frozen"/>
      <selection pane="topRight" activeCell="S13" sqref="S13"/>
    </sheetView>
  </sheetViews>
  <sheetFormatPr defaultRowHeight="15" x14ac:dyDescent="0.25"/>
  <cols>
    <col min="1" max="1" width="34.28515625" bestFit="1" customWidth="1"/>
    <col min="2" max="2" width="10.85546875" style="3" bestFit="1" customWidth="1"/>
    <col min="3" max="3" width="15.140625" style="3" bestFit="1" customWidth="1"/>
    <col min="4" max="4" width="13.7109375" style="3" bestFit="1" customWidth="1"/>
    <col min="5" max="5" width="15.28515625" style="3" bestFit="1" customWidth="1"/>
    <col min="6" max="6" width="11" style="2" bestFit="1" customWidth="1"/>
    <col min="7" max="7" width="12.5703125" style="2" bestFit="1" customWidth="1"/>
    <col min="8" max="8" width="11.5703125" style="2" bestFit="1" customWidth="1"/>
    <col min="9" max="9" width="17" bestFit="1" customWidth="1"/>
    <col min="10" max="10" width="13.28515625" style="1" bestFit="1" customWidth="1"/>
    <col min="11" max="11" width="15" bestFit="1" customWidth="1"/>
    <col min="12" max="12" width="10.42578125" bestFit="1" customWidth="1"/>
    <col min="13" max="13" width="20.85546875" bestFit="1" customWidth="1"/>
    <col min="14" max="14" width="14.85546875" bestFit="1" customWidth="1"/>
    <col min="15" max="15" width="19.42578125" bestFit="1" customWidth="1"/>
    <col min="16" max="16" width="20.28515625" bestFit="1" customWidth="1"/>
    <col min="17" max="17" width="17.42578125" bestFit="1" customWidth="1"/>
    <col min="19" max="19" width="19" bestFit="1" customWidth="1"/>
    <col min="21" max="21" width="17" bestFit="1" customWidth="1"/>
    <col min="22" max="22" width="13.5703125" bestFit="1" customWidth="1"/>
    <col min="23" max="23" width="20.140625" style="1" bestFit="1" customWidth="1"/>
    <col min="24" max="24" width="12" bestFit="1" customWidth="1"/>
    <col min="25" max="25" width="16.7109375" bestFit="1" customWidth="1"/>
    <col min="26" max="26" width="16.85546875" bestFit="1" customWidth="1"/>
    <col min="27" max="27" width="14.42578125" bestFit="1" customWidth="1"/>
    <col min="28" max="28" width="16.42578125" customWidth="1"/>
    <col min="29" max="29" width="14.42578125" bestFit="1" customWidth="1"/>
  </cols>
  <sheetData>
    <row r="1" spans="1:29" ht="27.75" customHeight="1" x14ac:dyDescent="0.25">
      <c r="A1" s="44" t="s">
        <v>0</v>
      </c>
      <c r="B1" s="16" t="s">
        <v>1</v>
      </c>
      <c r="C1" s="16" t="s">
        <v>2</v>
      </c>
      <c r="D1" s="16" t="s">
        <v>3</v>
      </c>
      <c r="E1" s="27" t="s">
        <v>4</v>
      </c>
      <c r="F1" s="17" t="s">
        <v>13</v>
      </c>
      <c r="G1" s="17" t="s">
        <v>14</v>
      </c>
      <c r="H1" s="17" t="s">
        <v>15</v>
      </c>
      <c r="I1" s="10" t="s">
        <v>16</v>
      </c>
      <c r="J1" s="11" t="s">
        <v>6</v>
      </c>
      <c r="K1" s="12" t="s">
        <v>7</v>
      </c>
      <c r="L1" s="12" t="s">
        <v>5</v>
      </c>
      <c r="M1" s="12" t="s">
        <v>27</v>
      </c>
      <c r="N1" s="26" t="s">
        <v>63</v>
      </c>
      <c r="O1" s="25" t="s">
        <v>61</v>
      </c>
      <c r="P1" s="12" t="s">
        <v>62</v>
      </c>
      <c r="Q1" s="12" t="s">
        <v>9</v>
      </c>
      <c r="R1" s="14" t="s">
        <v>25</v>
      </c>
      <c r="S1" s="12" t="s">
        <v>11</v>
      </c>
      <c r="T1" s="14" t="s">
        <v>8</v>
      </c>
      <c r="U1" s="47" t="s">
        <v>10</v>
      </c>
      <c r="V1" s="12" t="s">
        <v>12</v>
      </c>
      <c r="W1" s="47" t="s">
        <v>17</v>
      </c>
      <c r="X1" s="12" t="s">
        <v>18</v>
      </c>
      <c r="Y1" s="19" t="s">
        <v>19</v>
      </c>
      <c r="Z1" s="47" t="s">
        <v>20</v>
      </c>
      <c r="AA1" s="13" t="s">
        <v>21</v>
      </c>
      <c r="AB1" s="13" t="s">
        <v>22</v>
      </c>
      <c r="AC1" s="13"/>
    </row>
    <row r="2" spans="1:29" x14ac:dyDescent="0.25">
      <c r="A2" s="45" t="s">
        <v>64</v>
      </c>
      <c r="B2" s="30">
        <v>255</v>
      </c>
      <c r="C2" s="31">
        <v>72</v>
      </c>
      <c r="D2" s="29">
        <v>0</v>
      </c>
      <c r="E2" s="28">
        <f>C2+D2</f>
        <v>72</v>
      </c>
      <c r="F2" s="18">
        <v>30</v>
      </c>
      <c r="G2" s="18">
        <v>40</v>
      </c>
      <c r="H2" s="18">
        <v>2</v>
      </c>
      <c r="I2" s="4">
        <f>(F2*G2*H2)/1000</f>
        <v>2.4</v>
      </c>
      <c r="J2" s="7">
        <v>0.2</v>
      </c>
      <c r="K2" s="6">
        <f>B2*J2</f>
        <v>51</v>
      </c>
      <c r="L2" s="6">
        <f>B2*0.01253</f>
        <v>3.1951499999999999</v>
      </c>
      <c r="M2" s="6">
        <f>25</f>
        <v>25</v>
      </c>
      <c r="N2" s="33" t="s">
        <v>43</v>
      </c>
      <c r="O2" s="33">
        <f>VLOOKUP(N2,вводные!$G$3:$H$27,2,0)</f>
        <v>31.52</v>
      </c>
      <c r="P2" s="6">
        <f>(O2+M2)*S2</f>
        <v>56.519999999999996</v>
      </c>
      <c r="Q2" s="6">
        <f>P2+15</f>
        <v>71.52</v>
      </c>
      <c r="R2" s="15">
        <v>29</v>
      </c>
      <c r="S2" s="5">
        <f>VLOOKUP(R2,вводные!$A$2:$B$12,2,0)</f>
        <v>1</v>
      </c>
      <c r="T2" s="15">
        <v>95</v>
      </c>
      <c r="U2" s="48">
        <f>((P2+Q2)*(100-T2))/(100-(100-T2))+P2</f>
        <v>63.258947368421047</v>
      </c>
      <c r="V2" s="7">
        <v>0</v>
      </c>
      <c r="W2" s="50">
        <f>U2+L2+K2</f>
        <v>117.45409736842105</v>
      </c>
      <c r="X2" s="7">
        <f>W2/B2</f>
        <v>0.46060430340557273</v>
      </c>
      <c r="Y2" s="20">
        <v>0.06</v>
      </c>
      <c r="Z2" s="50">
        <f>B2*Y2</f>
        <v>15.299999999999999</v>
      </c>
      <c r="AA2" s="8">
        <f>B2-E2-W2-Z2</f>
        <v>50.245902631578957</v>
      </c>
      <c r="AB2" s="9">
        <f>AA2/B2</f>
        <v>0.19704275541795668</v>
      </c>
      <c r="AC2" s="9">
        <f>((AA2+C2-C2)/C2)*100%</f>
        <v>0.69785975877192996</v>
      </c>
    </row>
    <row r="3" spans="1:29" x14ac:dyDescent="0.25">
      <c r="A3" s="45"/>
      <c r="B3" s="30"/>
      <c r="C3" s="31"/>
      <c r="D3" s="29"/>
      <c r="E3" s="28">
        <f t="shared" ref="E3:E29" si="0">C3+D3</f>
        <v>0</v>
      </c>
      <c r="F3" s="18">
        <v>30</v>
      </c>
      <c r="G3" s="18">
        <v>40</v>
      </c>
      <c r="H3" s="18">
        <v>2</v>
      </c>
      <c r="I3" s="4">
        <f t="shared" ref="I3:I29" si="1">(F3*G3*H3)/1000</f>
        <v>2.4</v>
      </c>
      <c r="J3" s="7">
        <v>1.2</v>
      </c>
      <c r="K3" s="6">
        <f t="shared" ref="K3:K29" si="2">B3*J3</f>
        <v>0</v>
      </c>
      <c r="L3" s="6">
        <f t="shared" ref="L3:L29" si="3">B3*0.01253</f>
        <v>0</v>
      </c>
      <c r="M3" s="6">
        <f>25</f>
        <v>25</v>
      </c>
      <c r="N3" s="33" t="s">
        <v>43</v>
      </c>
      <c r="O3" s="33">
        <f>VLOOKUP(N3,вводные!$G$3:$H$27,2,0)</f>
        <v>31.52</v>
      </c>
      <c r="P3" s="6">
        <f t="shared" ref="P3:P29" si="4">(O3+M3)*S3</f>
        <v>59.345999999999997</v>
      </c>
      <c r="Q3" s="6">
        <f t="shared" ref="Q3:Q29" si="5">P3+15</f>
        <v>74.346000000000004</v>
      </c>
      <c r="R3" s="15">
        <v>30</v>
      </c>
      <c r="S3" s="5">
        <f>VLOOKUP(R3,вводные!$A$2:$B$12,2,0)</f>
        <v>1.05</v>
      </c>
      <c r="T3" s="15">
        <v>96</v>
      </c>
      <c r="U3" s="48">
        <f t="shared" ref="U3:U29" si="6">((P3+Q3)*(100-T3))/(100-(100-T3))+P3</f>
        <v>64.916499999999999</v>
      </c>
      <c r="V3" s="7">
        <v>0</v>
      </c>
      <c r="W3" s="50">
        <f t="shared" ref="W3:W29" si="7">U3+L3+K3</f>
        <v>64.916499999999999</v>
      </c>
      <c r="X3" s="7" t="e">
        <f t="shared" ref="X3:X29" si="8">W3/B3</f>
        <v>#DIV/0!</v>
      </c>
      <c r="Y3" s="20">
        <v>1.06</v>
      </c>
      <c r="Z3" s="50">
        <f t="shared" ref="Z3:Z29" si="9">B3*Y3</f>
        <v>0</v>
      </c>
      <c r="AA3" s="8">
        <f t="shared" ref="AA3:AA29" si="10">B3-E3-W3-Z3</f>
        <v>-64.916499999999999</v>
      </c>
      <c r="AB3" s="9" t="e">
        <f t="shared" ref="AB3:AB29" si="11">AA3/B3</f>
        <v>#DIV/0!</v>
      </c>
      <c r="AC3" s="9" t="e">
        <f t="shared" ref="AC3:AC29" si="12">((AA3+C3-C3)/C3)*100%</f>
        <v>#DIV/0!</v>
      </c>
    </row>
    <row r="4" spans="1:29" x14ac:dyDescent="0.25">
      <c r="A4" s="45"/>
      <c r="B4" s="30"/>
      <c r="C4" s="31"/>
      <c r="D4" s="29"/>
      <c r="E4" s="28">
        <f t="shared" si="0"/>
        <v>0</v>
      </c>
      <c r="F4" s="18">
        <v>30</v>
      </c>
      <c r="G4" s="18">
        <v>40</v>
      </c>
      <c r="H4" s="18">
        <v>2</v>
      </c>
      <c r="I4" s="4">
        <f t="shared" si="1"/>
        <v>2.4</v>
      </c>
      <c r="J4" s="7">
        <v>2.2000000000000002</v>
      </c>
      <c r="K4" s="6">
        <f t="shared" si="2"/>
        <v>0</v>
      </c>
      <c r="L4" s="6">
        <f t="shared" si="3"/>
        <v>0</v>
      </c>
      <c r="M4" s="6">
        <f>25</f>
        <v>25</v>
      </c>
      <c r="N4" s="33" t="s">
        <v>43</v>
      </c>
      <c r="O4" s="33">
        <f>VLOOKUP(N4,вводные!$G$3:$H$27,2,0)</f>
        <v>31.52</v>
      </c>
      <c r="P4" s="6">
        <f t="shared" si="4"/>
        <v>62.737200000000001</v>
      </c>
      <c r="Q4" s="6">
        <f t="shared" si="5"/>
        <v>77.737200000000001</v>
      </c>
      <c r="R4" s="15">
        <v>31</v>
      </c>
      <c r="S4" s="5">
        <f>VLOOKUP(R4,вводные!$A$2:$B$12,2,0)</f>
        <v>1.1100000000000001</v>
      </c>
      <c r="T4" s="15">
        <v>97</v>
      </c>
      <c r="U4" s="48">
        <f t="shared" si="6"/>
        <v>67.081769072164946</v>
      </c>
      <c r="V4" s="7">
        <v>0</v>
      </c>
      <c r="W4" s="50">
        <f t="shared" si="7"/>
        <v>67.081769072164946</v>
      </c>
      <c r="X4" s="7" t="e">
        <f t="shared" si="8"/>
        <v>#DIV/0!</v>
      </c>
      <c r="Y4" s="20">
        <v>2.06</v>
      </c>
      <c r="Z4" s="50">
        <f t="shared" si="9"/>
        <v>0</v>
      </c>
      <c r="AA4" s="8">
        <f t="shared" si="10"/>
        <v>-67.081769072164946</v>
      </c>
      <c r="AB4" s="9" t="e">
        <f t="shared" si="11"/>
        <v>#DIV/0!</v>
      </c>
      <c r="AC4" s="9" t="e">
        <f t="shared" si="12"/>
        <v>#DIV/0!</v>
      </c>
    </row>
    <row r="5" spans="1:29" x14ac:dyDescent="0.25">
      <c r="A5" s="45"/>
      <c r="B5" s="30"/>
      <c r="C5" s="31"/>
      <c r="D5" s="29"/>
      <c r="E5" s="28">
        <f t="shared" si="0"/>
        <v>0</v>
      </c>
      <c r="F5" s="18">
        <v>30</v>
      </c>
      <c r="G5" s="18">
        <v>40</v>
      </c>
      <c r="H5" s="18">
        <v>2</v>
      </c>
      <c r="I5" s="4">
        <f t="shared" si="1"/>
        <v>2.4</v>
      </c>
      <c r="J5" s="7">
        <v>3.2</v>
      </c>
      <c r="K5" s="6">
        <f t="shared" si="2"/>
        <v>0</v>
      </c>
      <c r="L5" s="6">
        <f t="shared" si="3"/>
        <v>0</v>
      </c>
      <c r="M5" s="6">
        <f>25</f>
        <v>25</v>
      </c>
      <c r="N5" s="33" t="s">
        <v>43</v>
      </c>
      <c r="O5" s="33">
        <f>VLOOKUP(N5,вводные!$G$3:$H$27,2,0)</f>
        <v>31.52</v>
      </c>
      <c r="P5" s="6">
        <f t="shared" si="4"/>
        <v>65.563199999999995</v>
      </c>
      <c r="Q5" s="6">
        <f t="shared" si="5"/>
        <v>80.563199999999995</v>
      </c>
      <c r="R5" s="15">
        <v>32</v>
      </c>
      <c r="S5" s="5">
        <f>VLOOKUP(R5,вводные!$A$2:$B$12,2,0)</f>
        <v>1.1599999999999999</v>
      </c>
      <c r="T5" s="15">
        <v>98</v>
      </c>
      <c r="U5" s="48">
        <f t="shared" si="6"/>
        <v>68.545371428571428</v>
      </c>
      <c r="V5" s="7">
        <v>0</v>
      </c>
      <c r="W5" s="50">
        <f t="shared" si="7"/>
        <v>68.545371428571428</v>
      </c>
      <c r="X5" s="7" t="e">
        <f t="shared" si="8"/>
        <v>#DIV/0!</v>
      </c>
      <c r="Y5" s="20">
        <v>3.06</v>
      </c>
      <c r="Z5" s="50">
        <f t="shared" si="9"/>
        <v>0</v>
      </c>
      <c r="AA5" s="8">
        <f t="shared" si="10"/>
        <v>-68.545371428571428</v>
      </c>
      <c r="AB5" s="9" t="e">
        <f t="shared" si="11"/>
        <v>#DIV/0!</v>
      </c>
      <c r="AC5" s="9" t="e">
        <f t="shared" si="12"/>
        <v>#DIV/0!</v>
      </c>
    </row>
    <row r="6" spans="1:29" x14ac:dyDescent="0.25">
      <c r="A6" s="45"/>
      <c r="B6" s="30"/>
      <c r="C6" s="31"/>
      <c r="D6" s="29"/>
      <c r="E6" s="28">
        <f t="shared" si="0"/>
        <v>0</v>
      </c>
      <c r="F6" s="18">
        <v>30</v>
      </c>
      <c r="G6" s="18">
        <v>40</v>
      </c>
      <c r="H6" s="18">
        <v>2</v>
      </c>
      <c r="I6" s="4">
        <f t="shared" si="1"/>
        <v>2.4</v>
      </c>
      <c r="J6" s="7">
        <v>4.2</v>
      </c>
      <c r="K6" s="6">
        <f t="shared" si="2"/>
        <v>0</v>
      </c>
      <c r="L6" s="6">
        <f t="shared" si="3"/>
        <v>0</v>
      </c>
      <c r="M6" s="6">
        <f>25</f>
        <v>25</v>
      </c>
      <c r="N6" s="33" t="s">
        <v>43</v>
      </c>
      <c r="O6" s="33">
        <f>VLOOKUP(N6,вводные!$G$3:$H$27,2,0)</f>
        <v>31.52</v>
      </c>
      <c r="P6" s="6">
        <f t="shared" si="4"/>
        <v>69.519599999999997</v>
      </c>
      <c r="Q6" s="6">
        <f t="shared" si="5"/>
        <v>84.519599999999997</v>
      </c>
      <c r="R6" s="15">
        <v>33</v>
      </c>
      <c r="S6" s="5">
        <f>VLOOKUP(R6,вводные!$A$2:$B$12,2,0)</f>
        <v>1.23</v>
      </c>
      <c r="T6" s="15">
        <v>99</v>
      </c>
      <c r="U6" s="48">
        <f t="shared" si="6"/>
        <v>71.075551515151517</v>
      </c>
      <c r="V6" s="7">
        <v>0</v>
      </c>
      <c r="W6" s="50">
        <f t="shared" si="7"/>
        <v>71.075551515151517</v>
      </c>
      <c r="X6" s="7" t="e">
        <f t="shared" si="8"/>
        <v>#DIV/0!</v>
      </c>
      <c r="Y6" s="20">
        <v>4.0599999999999996</v>
      </c>
      <c r="Z6" s="50">
        <f t="shared" si="9"/>
        <v>0</v>
      </c>
      <c r="AA6" s="8">
        <f t="shared" si="10"/>
        <v>-71.075551515151517</v>
      </c>
      <c r="AB6" s="9" t="e">
        <f t="shared" si="11"/>
        <v>#DIV/0!</v>
      </c>
      <c r="AC6" s="9" t="e">
        <f t="shared" si="12"/>
        <v>#DIV/0!</v>
      </c>
    </row>
    <row r="7" spans="1:29" x14ac:dyDescent="0.25">
      <c r="A7" s="45"/>
      <c r="B7" s="30"/>
      <c r="C7" s="31"/>
      <c r="D7" s="29"/>
      <c r="E7" s="28">
        <f t="shared" si="0"/>
        <v>0</v>
      </c>
      <c r="F7" s="18">
        <v>30</v>
      </c>
      <c r="G7" s="18">
        <v>40</v>
      </c>
      <c r="H7" s="18">
        <v>2</v>
      </c>
      <c r="I7" s="4">
        <f t="shared" si="1"/>
        <v>2.4</v>
      </c>
      <c r="J7" s="7">
        <v>5.2</v>
      </c>
      <c r="K7" s="6">
        <f t="shared" si="2"/>
        <v>0</v>
      </c>
      <c r="L7" s="6">
        <f t="shared" si="3"/>
        <v>0</v>
      </c>
      <c r="M7" s="6">
        <f>25</f>
        <v>25</v>
      </c>
      <c r="N7" s="33" t="s">
        <v>43</v>
      </c>
      <c r="O7" s="33">
        <f>VLOOKUP(N7,вводные!$G$3:$H$27,2,0)</f>
        <v>31.52</v>
      </c>
      <c r="P7" s="6">
        <f t="shared" si="4"/>
        <v>72.34559999999999</v>
      </c>
      <c r="Q7" s="6">
        <f t="shared" si="5"/>
        <v>87.34559999999999</v>
      </c>
      <c r="R7" s="15">
        <v>34</v>
      </c>
      <c r="S7" s="5">
        <f>VLOOKUP(R7,вводные!$A$2:$B$12,2,0)</f>
        <v>1.28</v>
      </c>
      <c r="T7" s="15">
        <v>100</v>
      </c>
      <c r="U7" s="48">
        <f t="shared" si="6"/>
        <v>72.34559999999999</v>
      </c>
      <c r="V7" s="7">
        <v>0</v>
      </c>
      <c r="W7" s="50">
        <f t="shared" si="7"/>
        <v>72.34559999999999</v>
      </c>
      <c r="X7" s="7" t="e">
        <f t="shared" si="8"/>
        <v>#DIV/0!</v>
      </c>
      <c r="Y7" s="20">
        <v>5.0599999999999996</v>
      </c>
      <c r="Z7" s="50">
        <f t="shared" si="9"/>
        <v>0</v>
      </c>
      <c r="AA7" s="8">
        <f t="shared" si="10"/>
        <v>-72.34559999999999</v>
      </c>
      <c r="AB7" s="9" t="e">
        <f t="shared" si="11"/>
        <v>#DIV/0!</v>
      </c>
      <c r="AC7" s="9" t="e">
        <f t="shared" si="12"/>
        <v>#DIV/0!</v>
      </c>
    </row>
    <row r="8" spans="1:29" x14ac:dyDescent="0.25">
      <c r="A8" s="45"/>
      <c r="B8" s="30"/>
      <c r="C8" s="31"/>
      <c r="D8" s="29"/>
      <c r="E8" s="28">
        <f t="shared" si="0"/>
        <v>0</v>
      </c>
      <c r="F8" s="18">
        <v>30</v>
      </c>
      <c r="G8" s="18">
        <v>40</v>
      </c>
      <c r="H8" s="18">
        <v>2</v>
      </c>
      <c r="I8" s="4">
        <f t="shared" si="1"/>
        <v>2.4</v>
      </c>
      <c r="J8" s="7">
        <v>6.2</v>
      </c>
      <c r="K8" s="6">
        <f t="shared" si="2"/>
        <v>0</v>
      </c>
      <c r="L8" s="6">
        <f t="shared" si="3"/>
        <v>0</v>
      </c>
      <c r="M8" s="6">
        <f>25</f>
        <v>25</v>
      </c>
      <c r="N8" s="33" t="s">
        <v>43</v>
      </c>
      <c r="O8" s="33">
        <f>VLOOKUP(N8,вводные!$G$3:$H$27,2,0)</f>
        <v>31.52</v>
      </c>
      <c r="P8" s="6">
        <f t="shared" si="4"/>
        <v>74.606399999999994</v>
      </c>
      <c r="Q8" s="6">
        <f t="shared" si="5"/>
        <v>89.606399999999994</v>
      </c>
      <c r="R8" s="15">
        <v>35</v>
      </c>
      <c r="S8" s="5">
        <f>VLOOKUP(R8,вводные!$A$2:$B$12,2,0)</f>
        <v>1.32</v>
      </c>
      <c r="T8" s="15">
        <v>101</v>
      </c>
      <c r="U8" s="48">
        <f t="shared" si="6"/>
        <v>72.980530693069298</v>
      </c>
      <c r="V8" s="7">
        <v>0</v>
      </c>
      <c r="W8" s="50">
        <f t="shared" si="7"/>
        <v>72.980530693069298</v>
      </c>
      <c r="X8" s="7" t="e">
        <f t="shared" si="8"/>
        <v>#DIV/0!</v>
      </c>
      <c r="Y8" s="20">
        <v>6.06</v>
      </c>
      <c r="Z8" s="50">
        <f t="shared" si="9"/>
        <v>0</v>
      </c>
      <c r="AA8" s="8">
        <f t="shared" si="10"/>
        <v>-72.980530693069298</v>
      </c>
      <c r="AB8" s="9" t="e">
        <f t="shared" si="11"/>
        <v>#DIV/0!</v>
      </c>
      <c r="AC8" s="9" t="e">
        <f t="shared" si="12"/>
        <v>#DIV/0!</v>
      </c>
    </row>
    <row r="9" spans="1:29" x14ac:dyDescent="0.25">
      <c r="A9" s="45"/>
      <c r="B9" s="30"/>
      <c r="C9" s="31"/>
      <c r="D9" s="29"/>
      <c r="E9" s="28">
        <f t="shared" si="0"/>
        <v>0</v>
      </c>
      <c r="F9" s="18">
        <v>30</v>
      </c>
      <c r="G9" s="18">
        <v>40</v>
      </c>
      <c r="H9" s="18">
        <v>2</v>
      </c>
      <c r="I9" s="4">
        <f t="shared" si="1"/>
        <v>2.4</v>
      </c>
      <c r="J9" s="7">
        <v>7.2</v>
      </c>
      <c r="K9" s="6">
        <f t="shared" si="2"/>
        <v>0</v>
      </c>
      <c r="L9" s="6">
        <f t="shared" si="3"/>
        <v>0</v>
      </c>
      <c r="M9" s="6">
        <f>25</f>
        <v>25</v>
      </c>
      <c r="N9" s="33" t="s">
        <v>43</v>
      </c>
      <c r="O9" s="33">
        <f>VLOOKUP(N9,вводные!$G$3:$H$27,2,0)</f>
        <v>31.52</v>
      </c>
      <c r="P9" s="6">
        <f t="shared" si="4"/>
        <v>76.867199999999997</v>
      </c>
      <c r="Q9" s="6">
        <f t="shared" si="5"/>
        <v>91.867199999999997</v>
      </c>
      <c r="R9" s="15">
        <v>36</v>
      </c>
      <c r="S9" s="5">
        <f>VLOOKUP(R9,вводные!$A$2:$B$12,2,0)</f>
        <v>1.36</v>
      </c>
      <c r="T9" s="15">
        <v>102</v>
      </c>
      <c r="U9" s="48">
        <f t="shared" si="6"/>
        <v>73.558682352941176</v>
      </c>
      <c r="V9" s="7">
        <v>0</v>
      </c>
      <c r="W9" s="50">
        <f t="shared" si="7"/>
        <v>73.558682352941176</v>
      </c>
      <c r="X9" s="7" t="e">
        <f t="shared" si="8"/>
        <v>#DIV/0!</v>
      </c>
      <c r="Y9" s="20">
        <v>7.06</v>
      </c>
      <c r="Z9" s="50">
        <f t="shared" si="9"/>
        <v>0</v>
      </c>
      <c r="AA9" s="8">
        <f t="shared" si="10"/>
        <v>-73.558682352941176</v>
      </c>
      <c r="AB9" s="9" t="e">
        <f t="shared" si="11"/>
        <v>#DIV/0!</v>
      </c>
      <c r="AC9" s="9" t="e">
        <f t="shared" si="12"/>
        <v>#DIV/0!</v>
      </c>
    </row>
    <row r="10" spans="1:29" x14ac:dyDescent="0.25">
      <c r="A10" s="45"/>
      <c r="B10" s="30"/>
      <c r="C10" s="31"/>
      <c r="D10" s="29"/>
      <c r="E10" s="28">
        <f t="shared" si="0"/>
        <v>0</v>
      </c>
      <c r="F10" s="18">
        <v>30</v>
      </c>
      <c r="G10" s="18">
        <v>40</v>
      </c>
      <c r="H10" s="18">
        <v>2</v>
      </c>
      <c r="I10" s="4">
        <f t="shared" si="1"/>
        <v>2.4</v>
      </c>
      <c r="J10" s="7">
        <v>8.1999999999999993</v>
      </c>
      <c r="K10" s="6">
        <f t="shared" si="2"/>
        <v>0</v>
      </c>
      <c r="L10" s="6">
        <f t="shared" si="3"/>
        <v>0</v>
      </c>
      <c r="M10" s="6">
        <f>25</f>
        <v>25</v>
      </c>
      <c r="N10" s="33" t="s">
        <v>43</v>
      </c>
      <c r="O10" s="33">
        <f>VLOOKUP(N10,вводные!$G$3:$H$27,2,0)</f>
        <v>31.52</v>
      </c>
      <c r="P10" s="6">
        <f t="shared" si="4"/>
        <v>79.127999999999986</v>
      </c>
      <c r="Q10" s="6">
        <f t="shared" si="5"/>
        <v>94.127999999999986</v>
      </c>
      <c r="R10" s="15">
        <v>37</v>
      </c>
      <c r="S10" s="5">
        <f>VLOOKUP(R10,вводные!$A$2:$B$12,2,0)</f>
        <v>1.4</v>
      </c>
      <c r="T10" s="15">
        <v>103</v>
      </c>
      <c r="U10" s="48">
        <f t="shared" si="6"/>
        <v>74.081708737864062</v>
      </c>
      <c r="V10" s="7">
        <v>0</v>
      </c>
      <c r="W10" s="50">
        <f t="shared" si="7"/>
        <v>74.081708737864062</v>
      </c>
      <c r="X10" s="7" t="e">
        <f t="shared" si="8"/>
        <v>#DIV/0!</v>
      </c>
      <c r="Y10" s="20">
        <v>8.06</v>
      </c>
      <c r="Z10" s="50">
        <f t="shared" si="9"/>
        <v>0</v>
      </c>
      <c r="AA10" s="8">
        <f t="shared" si="10"/>
        <v>-74.081708737864062</v>
      </c>
      <c r="AB10" s="9" t="e">
        <f t="shared" si="11"/>
        <v>#DIV/0!</v>
      </c>
      <c r="AC10" s="9" t="e">
        <f t="shared" si="12"/>
        <v>#DIV/0!</v>
      </c>
    </row>
    <row r="11" spans="1:29" x14ac:dyDescent="0.25">
      <c r="A11" s="45"/>
      <c r="B11" s="30"/>
      <c r="C11" s="31"/>
      <c r="D11" s="29"/>
      <c r="E11" s="28">
        <f t="shared" si="0"/>
        <v>0</v>
      </c>
      <c r="F11" s="18">
        <v>30</v>
      </c>
      <c r="G11" s="18">
        <v>40</v>
      </c>
      <c r="H11" s="18">
        <v>2</v>
      </c>
      <c r="I11" s="4">
        <f t="shared" si="1"/>
        <v>2.4</v>
      </c>
      <c r="J11" s="7">
        <v>9.1999999999999993</v>
      </c>
      <c r="K11" s="6">
        <f t="shared" si="2"/>
        <v>0</v>
      </c>
      <c r="L11" s="6">
        <f t="shared" si="3"/>
        <v>0</v>
      </c>
      <c r="M11" s="6">
        <f>25</f>
        <v>25</v>
      </c>
      <c r="N11" s="33" t="s">
        <v>43</v>
      </c>
      <c r="O11" s="33">
        <f>VLOOKUP(N11,вводные!$G$3:$H$27,2,0)</f>
        <v>31.52</v>
      </c>
      <c r="P11" s="6">
        <f t="shared" si="4"/>
        <v>81.388799999999989</v>
      </c>
      <c r="Q11" s="6">
        <f t="shared" si="5"/>
        <v>96.388799999999989</v>
      </c>
      <c r="R11" s="15">
        <v>38</v>
      </c>
      <c r="S11" s="5">
        <f>VLOOKUP(R11,вводные!$A$2:$B$12,2,0)</f>
        <v>1.44</v>
      </c>
      <c r="T11" s="15">
        <v>104</v>
      </c>
      <c r="U11" s="48">
        <f t="shared" si="6"/>
        <v>74.551199999999994</v>
      </c>
      <c r="V11" s="7">
        <v>0</v>
      </c>
      <c r="W11" s="50">
        <f t="shared" si="7"/>
        <v>74.551199999999994</v>
      </c>
      <c r="X11" s="7" t="e">
        <f t="shared" si="8"/>
        <v>#DIV/0!</v>
      </c>
      <c r="Y11" s="20">
        <v>9.06</v>
      </c>
      <c r="Z11" s="50">
        <f t="shared" si="9"/>
        <v>0</v>
      </c>
      <c r="AA11" s="8">
        <f t="shared" si="10"/>
        <v>-74.551199999999994</v>
      </c>
      <c r="AB11" s="9" t="e">
        <f t="shared" si="11"/>
        <v>#DIV/0!</v>
      </c>
      <c r="AC11" s="9" t="e">
        <f t="shared" si="12"/>
        <v>#DIV/0!</v>
      </c>
    </row>
    <row r="12" spans="1:29" x14ac:dyDescent="0.25">
      <c r="A12" s="45"/>
      <c r="B12" s="30"/>
      <c r="C12" s="31"/>
      <c r="D12" s="29"/>
      <c r="E12" s="28">
        <f t="shared" si="0"/>
        <v>0</v>
      </c>
      <c r="F12" s="18">
        <v>30</v>
      </c>
      <c r="G12" s="18">
        <v>40</v>
      </c>
      <c r="H12" s="18">
        <v>2</v>
      </c>
      <c r="I12" s="4">
        <f t="shared" si="1"/>
        <v>2.4</v>
      </c>
      <c r="J12" s="7">
        <v>10.199999999999999</v>
      </c>
      <c r="K12" s="6">
        <f t="shared" si="2"/>
        <v>0</v>
      </c>
      <c r="L12" s="6">
        <f t="shared" si="3"/>
        <v>0</v>
      </c>
      <c r="M12" s="6">
        <f>25</f>
        <v>25</v>
      </c>
      <c r="N12" s="33" t="s">
        <v>43</v>
      </c>
      <c r="O12" s="33">
        <f>VLOOKUP(N12,вводные!$G$3:$H$27,2,0)</f>
        <v>31.52</v>
      </c>
      <c r="P12" s="6">
        <f t="shared" si="4"/>
        <v>83.649599999999992</v>
      </c>
      <c r="Q12" s="6">
        <f t="shared" si="5"/>
        <v>98.649599999999992</v>
      </c>
      <c r="R12" s="15">
        <v>39</v>
      </c>
      <c r="S12" s="5">
        <f>VLOOKUP(R12,вводные!$A$2:$B$12,2,0)</f>
        <v>1.48</v>
      </c>
      <c r="T12" s="15">
        <v>105</v>
      </c>
      <c r="U12" s="48">
        <f t="shared" si="6"/>
        <v>74.968685714285712</v>
      </c>
      <c r="V12" s="7">
        <v>0</v>
      </c>
      <c r="W12" s="50">
        <f t="shared" si="7"/>
        <v>74.968685714285712</v>
      </c>
      <c r="X12" s="7" t="e">
        <f t="shared" si="8"/>
        <v>#DIV/0!</v>
      </c>
      <c r="Y12" s="20">
        <v>10.06</v>
      </c>
      <c r="Z12" s="50">
        <f t="shared" si="9"/>
        <v>0</v>
      </c>
      <c r="AA12" s="8">
        <f t="shared" si="10"/>
        <v>-74.968685714285712</v>
      </c>
      <c r="AB12" s="9" t="e">
        <f t="shared" si="11"/>
        <v>#DIV/0!</v>
      </c>
      <c r="AC12" s="9" t="e">
        <f t="shared" si="12"/>
        <v>#DIV/0!</v>
      </c>
    </row>
    <row r="13" spans="1:29" x14ac:dyDescent="0.25">
      <c r="A13" s="45"/>
      <c r="B13" s="30"/>
      <c r="C13" s="31"/>
      <c r="D13" s="29"/>
      <c r="E13" s="28">
        <f t="shared" si="0"/>
        <v>0</v>
      </c>
      <c r="F13" s="18">
        <v>30</v>
      </c>
      <c r="G13" s="18">
        <v>40</v>
      </c>
      <c r="H13" s="18">
        <v>2</v>
      </c>
      <c r="I13" s="4">
        <f t="shared" si="1"/>
        <v>2.4</v>
      </c>
      <c r="J13" s="7">
        <v>11.2</v>
      </c>
      <c r="K13" s="6">
        <f t="shared" si="2"/>
        <v>0</v>
      </c>
      <c r="L13" s="6">
        <f t="shared" si="3"/>
        <v>0</v>
      </c>
      <c r="M13" s="6">
        <f>25</f>
        <v>25</v>
      </c>
      <c r="N13" s="33" t="s">
        <v>43</v>
      </c>
      <c r="O13" s="33">
        <f>VLOOKUP(N13,вводные!$G$3:$H$27,2,0)</f>
        <v>31.52</v>
      </c>
      <c r="P13" s="6" t="e">
        <f t="shared" si="4"/>
        <v>#N/A</v>
      </c>
      <c r="Q13" s="6" t="e">
        <f t="shared" si="5"/>
        <v>#N/A</v>
      </c>
      <c r="R13" s="15">
        <v>40</v>
      </c>
      <c r="S13" s="5" t="e">
        <f>VLOOKUP(R13,вводные!$A$2:$B$12,2,0)</f>
        <v>#N/A</v>
      </c>
      <c r="T13" s="15">
        <v>106</v>
      </c>
      <c r="U13" s="48" t="e">
        <f t="shared" si="6"/>
        <v>#N/A</v>
      </c>
      <c r="V13" s="7">
        <v>0</v>
      </c>
      <c r="W13" s="50" t="e">
        <f t="shared" si="7"/>
        <v>#N/A</v>
      </c>
      <c r="X13" s="7" t="e">
        <f t="shared" si="8"/>
        <v>#N/A</v>
      </c>
      <c r="Y13" s="20">
        <v>11.06</v>
      </c>
      <c r="Z13" s="50">
        <f t="shared" si="9"/>
        <v>0</v>
      </c>
      <c r="AA13" s="8" t="e">
        <f t="shared" si="10"/>
        <v>#N/A</v>
      </c>
      <c r="AB13" s="9" t="e">
        <f t="shared" si="11"/>
        <v>#N/A</v>
      </c>
      <c r="AC13" s="9" t="e">
        <f t="shared" si="12"/>
        <v>#N/A</v>
      </c>
    </row>
    <row r="14" spans="1:29" x14ac:dyDescent="0.25">
      <c r="A14" s="45"/>
      <c r="B14" s="30"/>
      <c r="C14" s="31"/>
      <c r="D14" s="29"/>
      <c r="E14" s="28">
        <f t="shared" si="0"/>
        <v>0</v>
      </c>
      <c r="F14" s="18">
        <v>30</v>
      </c>
      <c r="G14" s="18">
        <v>40</v>
      </c>
      <c r="H14" s="18">
        <v>2</v>
      </c>
      <c r="I14" s="4">
        <f t="shared" si="1"/>
        <v>2.4</v>
      </c>
      <c r="J14" s="7">
        <v>12.2</v>
      </c>
      <c r="K14" s="6">
        <f t="shared" si="2"/>
        <v>0</v>
      </c>
      <c r="L14" s="6">
        <f t="shared" si="3"/>
        <v>0</v>
      </c>
      <c r="M14" s="6">
        <f>25</f>
        <v>25</v>
      </c>
      <c r="N14" s="33" t="s">
        <v>43</v>
      </c>
      <c r="O14" s="33">
        <f>VLOOKUP(N14,вводные!$G$3:$H$27,2,0)</f>
        <v>31.52</v>
      </c>
      <c r="P14" s="6" t="e">
        <f t="shared" si="4"/>
        <v>#N/A</v>
      </c>
      <c r="Q14" s="6" t="e">
        <f t="shared" si="5"/>
        <v>#N/A</v>
      </c>
      <c r="R14" s="15">
        <v>41</v>
      </c>
      <c r="S14" s="5" t="e">
        <f>VLOOKUP(R14,вводные!$A$2:$B$12,2,0)</f>
        <v>#N/A</v>
      </c>
      <c r="T14" s="15">
        <v>107</v>
      </c>
      <c r="U14" s="48" t="e">
        <f t="shared" si="6"/>
        <v>#N/A</v>
      </c>
      <c r="V14" s="7">
        <v>0</v>
      </c>
      <c r="W14" s="50" t="e">
        <f t="shared" si="7"/>
        <v>#N/A</v>
      </c>
      <c r="X14" s="7" t="e">
        <f t="shared" si="8"/>
        <v>#N/A</v>
      </c>
      <c r="Y14" s="20">
        <v>12.06</v>
      </c>
      <c r="Z14" s="50">
        <f t="shared" si="9"/>
        <v>0</v>
      </c>
      <c r="AA14" s="8" t="e">
        <f t="shared" si="10"/>
        <v>#N/A</v>
      </c>
      <c r="AB14" s="9" t="e">
        <f t="shared" si="11"/>
        <v>#N/A</v>
      </c>
      <c r="AC14" s="9" t="e">
        <f t="shared" si="12"/>
        <v>#N/A</v>
      </c>
    </row>
    <row r="15" spans="1:29" x14ac:dyDescent="0.25">
      <c r="A15" s="45"/>
      <c r="B15" s="30"/>
      <c r="C15" s="31"/>
      <c r="D15" s="29"/>
      <c r="E15" s="28">
        <f t="shared" si="0"/>
        <v>0</v>
      </c>
      <c r="F15" s="18">
        <v>30</v>
      </c>
      <c r="G15" s="18">
        <v>40</v>
      </c>
      <c r="H15" s="18">
        <v>2</v>
      </c>
      <c r="I15" s="4">
        <f t="shared" si="1"/>
        <v>2.4</v>
      </c>
      <c r="J15" s="7">
        <v>13.2</v>
      </c>
      <c r="K15" s="6">
        <f t="shared" si="2"/>
        <v>0</v>
      </c>
      <c r="L15" s="6">
        <f t="shared" si="3"/>
        <v>0</v>
      </c>
      <c r="M15" s="6">
        <f>25</f>
        <v>25</v>
      </c>
      <c r="N15" s="33" t="s">
        <v>43</v>
      </c>
      <c r="O15" s="33">
        <f>VLOOKUP(N15,вводные!$G$3:$H$27,2,0)</f>
        <v>31.52</v>
      </c>
      <c r="P15" s="6" t="e">
        <f t="shared" si="4"/>
        <v>#N/A</v>
      </c>
      <c r="Q15" s="6" t="e">
        <f t="shared" si="5"/>
        <v>#N/A</v>
      </c>
      <c r="R15" s="15">
        <v>42</v>
      </c>
      <c r="S15" s="5" t="e">
        <f>VLOOKUP(R15,вводные!$A$2:$B$12,2,0)</f>
        <v>#N/A</v>
      </c>
      <c r="T15" s="15">
        <v>108</v>
      </c>
      <c r="U15" s="48" t="e">
        <f t="shared" si="6"/>
        <v>#N/A</v>
      </c>
      <c r="V15" s="7">
        <v>0</v>
      </c>
      <c r="W15" s="50" t="e">
        <f t="shared" si="7"/>
        <v>#N/A</v>
      </c>
      <c r="X15" s="7" t="e">
        <f t="shared" si="8"/>
        <v>#N/A</v>
      </c>
      <c r="Y15" s="20">
        <v>13.06</v>
      </c>
      <c r="Z15" s="50">
        <f t="shared" si="9"/>
        <v>0</v>
      </c>
      <c r="AA15" s="8" t="e">
        <f t="shared" si="10"/>
        <v>#N/A</v>
      </c>
      <c r="AB15" s="9" t="e">
        <f t="shared" si="11"/>
        <v>#N/A</v>
      </c>
      <c r="AC15" s="9" t="e">
        <f t="shared" si="12"/>
        <v>#N/A</v>
      </c>
    </row>
    <row r="16" spans="1:29" x14ac:dyDescent="0.25">
      <c r="A16" s="45"/>
      <c r="B16" s="30"/>
      <c r="C16" s="31"/>
      <c r="D16" s="29"/>
      <c r="E16" s="28">
        <f t="shared" si="0"/>
        <v>0</v>
      </c>
      <c r="F16" s="18">
        <v>30</v>
      </c>
      <c r="G16" s="18">
        <v>40</v>
      </c>
      <c r="H16" s="18">
        <v>2</v>
      </c>
      <c r="I16" s="4">
        <f t="shared" si="1"/>
        <v>2.4</v>
      </c>
      <c r="J16" s="7">
        <v>14.2</v>
      </c>
      <c r="K16" s="6">
        <f t="shared" si="2"/>
        <v>0</v>
      </c>
      <c r="L16" s="6">
        <f t="shared" si="3"/>
        <v>0</v>
      </c>
      <c r="M16" s="6">
        <f>25</f>
        <v>25</v>
      </c>
      <c r="N16" s="33" t="s">
        <v>43</v>
      </c>
      <c r="O16" s="33">
        <f>VLOOKUP(N16,вводные!$G$3:$H$27,2,0)</f>
        <v>31.52</v>
      </c>
      <c r="P16" s="6" t="e">
        <f t="shared" si="4"/>
        <v>#N/A</v>
      </c>
      <c r="Q16" s="6" t="e">
        <f t="shared" si="5"/>
        <v>#N/A</v>
      </c>
      <c r="R16" s="15">
        <v>43</v>
      </c>
      <c r="S16" s="5" t="e">
        <f>VLOOKUP(R16,вводные!$A$2:$B$12,2,0)</f>
        <v>#N/A</v>
      </c>
      <c r="T16" s="15">
        <v>109</v>
      </c>
      <c r="U16" s="48" t="e">
        <f t="shared" si="6"/>
        <v>#N/A</v>
      </c>
      <c r="V16" s="7">
        <v>0</v>
      </c>
      <c r="W16" s="50" t="e">
        <f t="shared" si="7"/>
        <v>#N/A</v>
      </c>
      <c r="X16" s="7" t="e">
        <f t="shared" si="8"/>
        <v>#N/A</v>
      </c>
      <c r="Y16" s="20">
        <v>14.06</v>
      </c>
      <c r="Z16" s="50">
        <f t="shared" si="9"/>
        <v>0</v>
      </c>
      <c r="AA16" s="8" t="e">
        <f t="shared" si="10"/>
        <v>#N/A</v>
      </c>
      <c r="AB16" s="9" t="e">
        <f t="shared" si="11"/>
        <v>#N/A</v>
      </c>
      <c r="AC16" s="9" t="e">
        <f t="shared" si="12"/>
        <v>#N/A</v>
      </c>
    </row>
    <row r="17" spans="1:29" x14ac:dyDescent="0.25">
      <c r="A17" s="45"/>
      <c r="B17" s="30"/>
      <c r="C17" s="31"/>
      <c r="D17" s="29"/>
      <c r="E17" s="28">
        <f t="shared" si="0"/>
        <v>0</v>
      </c>
      <c r="F17" s="18">
        <v>30</v>
      </c>
      <c r="G17" s="18">
        <v>40</v>
      </c>
      <c r="H17" s="18">
        <v>2</v>
      </c>
      <c r="I17" s="4">
        <f t="shared" si="1"/>
        <v>2.4</v>
      </c>
      <c r="J17" s="7">
        <v>15.2</v>
      </c>
      <c r="K17" s="6">
        <f t="shared" si="2"/>
        <v>0</v>
      </c>
      <c r="L17" s="6">
        <f t="shared" si="3"/>
        <v>0</v>
      </c>
      <c r="M17" s="6">
        <f>25</f>
        <v>25</v>
      </c>
      <c r="N17" s="33" t="s">
        <v>43</v>
      </c>
      <c r="O17" s="33">
        <f>VLOOKUP(N17,вводные!$G$3:$H$27,2,0)</f>
        <v>31.52</v>
      </c>
      <c r="P17" s="6" t="e">
        <f t="shared" si="4"/>
        <v>#N/A</v>
      </c>
      <c r="Q17" s="6" t="e">
        <f t="shared" si="5"/>
        <v>#N/A</v>
      </c>
      <c r="R17" s="15">
        <v>44</v>
      </c>
      <c r="S17" s="5" t="e">
        <f>VLOOKUP(R17,вводные!$A$2:$B$12,2,0)</f>
        <v>#N/A</v>
      </c>
      <c r="T17" s="15">
        <v>110</v>
      </c>
      <c r="U17" s="48" t="e">
        <f t="shared" si="6"/>
        <v>#N/A</v>
      </c>
      <c r="V17" s="7">
        <v>0</v>
      </c>
      <c r="W17" s="50" t="e">
        <f t="shared" si="7"/>
        <v>#N/A</v>
      </c>
      <c r="X17" s="7" t="e">
        <f t="shared" si="8"/>
        <v>#N/A</v>
      </c>
      <c r="Y17" s="20">
        <v>15.06</v>
      </c>
      <c r="Z17" s="50">
        <f t="shared" si="9"/>
        <v>0</v>
      </c>
      <c r="AA17" s="8" t="e">
        <f t="shared" si="10"/>
        <v>#N/A</v>
      </c>
      <c r="AB17" s="9" t="e">
        <f t="shared" si="11"/>
        <v>#N/A</v>
      </c>
      <c r="AC17" s="9" t="e">
        <f t="shared" si="12"/>
        <v>#N/A</v>
      </c>
    </row>
    <row r="18" spans="1:29" x14ac:dyDescent="0.25">
      <c r="A18" s="45"/>
      <c r="B18" s="30"/>
      <c r="C18" s="31"/>
      <c r="D18" s="29"/>
      <c r="E18" s="28">
        <f t="shared" si="0"/>
        <v>0</v>
      </c>
      <c r="F18" s="18">
        <v>30</v>
      </c>
      <c r="G18" s="18">
        <v>40</v>
      </c>
      <c r="H18" s="18">
        <v>2</v>
      </c>
      <c r="I18" s="4">
        <f t="shared" si="1"/>
        <v>2.4</v>
      </c>
      <c r="J18" s="7">
        <v>16.2</v>
      </c>
      <c r="K18" s="6">
        <f t="shared" si="2"/>
        <v>0</v>
      </c>
      <c r="L18" s="6">
        <f t="shared" si="3"/>
        <v>0</v>
      </c>
      <c r="M18" s="6">
        <f>25</f>
        <v>25</v>
      </c>
      <c r="N18" s="33" t="s">
        <v>43</v>
      </c>
      <c r="O18" s="33">
        <f>VLOOKUP(N18,вводные!$G$3:$H$27,2,0)</f>
        <v>31.52</v>
      </c>
      <c r="P18" s="6" t="e">
        <f t="shared" si="4"/>
        <v>#N/A</v>
      </c>
      <c r="Q18" s="6" t="e">
        <f t="shared" si="5"/>
        <v>#N/A</v>
      </c>
      <c r="R18" s="15">
        <v>45</v>
      </c>
      <c r="S18" s="5" t="e">
        <f>VLOOKUP(R18,вводные!$A$2:$B$12,2,0)</f>
        <v>#N/A</v>
      </c>
      <c r="T18" s="15">
        <v>111</v>
      </c>
      <c r="U18" s="48" t="e">
        <f t="shared" si="6"/>
        <v>#N/A</v>
      </c>
      <c r="V18" s="7">
        <v>0</v>
      </c>
      <c r="W18" s="50" t="e">
        <f t="shared" si="7"/>
        <v>#N/A</v>
      </c>
      <c r="X18" s="7" t="e">
        <f t="shared" si="8"/>
        <v>#N/A</v>
      </c>
      <c r="Y18" s="20">
        <v>16.059999999999999</v>
      </c>
      <c r="Z18" s="50">
        <f t="shared" si="9"/>
        <v>0</v>
      </c>
      <c r="AA18" s="8" t="e">
        <f t="shared" si="10"/>
        <v>#N/A</v>
      </c>
      <c r="AB18" s="9" t="e">
        <f t="shared" si="11"/>
        <v>#N/A</v>
      </c>
      <c r="AC18" s="9" t="e">
        <f t="shared" si="12"/>
        <v>#N/A</v>
      </c>
    </row>
    <row r="19" spans="1:29" x14ac:dyDescent="0.25">
      <c r="A19" s="45"/>
      <c r="B19" s="30"/>
      <c r="C19" s="31"/>
      <c r="D19" s="29"/>
      <c r="E19" s="28">
        <f t="shared" si="0"/>
        <v>0</v>
      </c>
      <c r="F19" s="18">
        <v>30</v>
      </c>
      <c r="G19" s="18">
        <v>40</v>
      </c>
      <c r="H19" s="18">
        <v>2</v>
      </c>
      <c r="I19" s="4">
        <f t="shared" si="1"/>
        <v>2.4</v>
      </c>
      <c r="J19" s="7">
        <v>17.2</v>
      </c>
      <c r="K19" s="6">
        <f t="shared" si="2"/>
        <v>0</v>
      </c>
      <c r="L19" s="6">
        <f t="shared" si="3"/>
        <v>0</v>
      </c>
      <c r="M19" s="6">
        <f>25</f>
        <v>25</v>
      </c>
      <c r="N19" s="33" t="s">
        <v>43</v>
      </c>
      <c r="O19" s="33">
        <f>VLOOKUP(N19,вводные!$G$3:$H$27,2,0)</f>
        <v>31.52</v>
      </c>
      <c r="P19" s="6" t="e">
        <f t="shared" si="4"/>
        <v>#N/A</v>
      </c>
      <c r="Q19" s="6" t="e">
        <f t="shared" si="5"/>
        <v>#N/A</v>
      </c>
      <c r="R19" s="15">
        <v>46</v>
      </c>
      <c r="S19" s="5" t="e">
        <f>VLOOKUP(R19,вводные!$A$2:$B$12,2,0)</f>
        <v>#N/A</v>
      </c>
      <c r="T19" s="15">
        <v>112</v>
      </c>
      <c r="U19" s="48" t="e">
        <f t="shared" si="6"/>
        <v>#N/A</v>
      </c>
      <c r="V19" s="7">
        <v>0</v>
      </c>
      <c r="W19" s="50" t="e">
        <f t="shared" si="7"/>
        <v>#N/A</v>
      </c>
      <c r="X19" s="7" t="e">
        <f t="shared" si="8"/>
        <v>#N/A</v>
      </c>
      <c r="Y19" s="20">
        <v>17.059999999999999</v>
      </c>
      <c r="Z19" s="50">
        <f t="shared" si="9"/>
        <v>0</v>
      </c>
      <c r="AA19" s="8" t="e">
        <f t="shared" si="10"/>
        <v>#N/A</v>
      </c>
      <c r="AB19" s="9" t="e">
        <f t="shared" si="11"/>
        <v>#N/A</v>
      </c>
      <c r="AC19" s="9" t="e">
        <f t="shared" si="12"/>
        <v>#N/A</v>
      </c>
    </row>
    <row r="20" spans="1:29" x14ac:dyDescent="0.25">
      <c r="A20" s="45"/>
      <c r="B20" s="30"/>
      <c r="C20" s="31"/>
      <c r="D20" s="29"/>
      <c r="E20" s="28">
        <f t="shared" si="0"/>
        <v>0</v>
      </c>
      <c r="F20" s="18">
        <v>30</v>
      </c>
      <c r="G20" s="18">
        <v>40</v>
      </c>
      <c r="H20" s="18">
        <v>2</v>
      </c>
      <c r="I20" s="4">
        <f t="shared" si="1"/>
        <v>2.4</v>
      </c>
      <c r="J20" s="7">
        <v>18.2</v>
      </c>
      <c r="K20" s="6">
        <f t="shared" si="2"/>
        <v>0</v>
      </c>
      <c r="L20" s="6">
        <f t="shared" si="3"/>
        <v>0</v>
      </c>
      <c r="M20" s="6">
        <f>25</f>
        <v>25</v>
      </c>
      <c r="N20" s="33" t="s">
        <v>43</v>
      </c>
      <c r="O20" s="33">
        <f>VLOOKUP(N20,вводные!$G$3:$H$27,2,0)</f>
        <v>31.52</v>
      </c>
      <c r="P20" s="6" t="e">
        <f t="shared" si="4"/>
        <v>#N/A</v>
      </c>
      <c r="Q20" s="6" t="e">
        <f t="shared" si="5"/>
        <v>#N/A</v>
      </c>
      <c r="R20" s="15">
        <v>47</v>
      </c>
      <c r="S20" s="5" t="e">
        <f>VLOOKUP(R20,вводные!$A$2:$B$12,2,0)</f>
        <v>#N/A</v>
      </c>
      <c r="T20" s="15">
        <v>113</v>
      </c>
      <c r="U20" s="48" t="e">
        <f t="shared" si="6"/>
        <v>#N/A</v>
      </c>
      <c r="V20" s="7">
        <v>0</v>
      </c>
      <c r="W20" s="50" t="e">
        <f t="shared" si="7"/>
        <v>#N/A</v>
      </c>
      <c r="X20" s="7" t="e">
        <f t="shared" si="8"/>
        <v>#N/A</v>
      </c>
      <c r="Y20" s="20">
        <v>18.059999999999999</v>
      </c>
      <c r="Z20" s="50">
        <f t="shared" si="9"/>
        <v>0</v>
      </c>
      <c r="AA20" s="8" t="e">
        <f t="shared" si="10"/>
        <v>#N/A</v>
      </c>
      <c r="AB20" s="9" t="e">
        <f t="shared" si="11"/>
        <v>#N/A</v>
      </c>
      <c r="AC20" s="9" t="e">
        <f t="shared" si="12"/>
        <v>#N/A</v>
      </c>
    </row>
    <row r="21" spans="1:29" x14ac:dyDescent="0.25">
      <c r="A21" s="45"/>
      <c r="B21" s="30"/>
      <c r="C21" s="31"/>
      <c r="D21" s="29"/>
      <c r="E21" s="28">
        <f t="shared" si="0"/>
        <v>0</v>
      </c>
      <c r="F21" s="18">
        <v>30</v>
      </c>
      <c r="G21" s="18">
        <v>40</v>
      </c>
      <c r="H21" s="18">
        <v>2</v>
      </c>
      <c r="I21" s="4">
        <f t="shared" si="1"/>
        <v>2.4</v>
      </c>
      <c r="J21" s="7">
        <v>19.2</v>
      </c>
      <c r="K21" s="6">
        <f t="shared" si="2"/>
        <v>0</v>
      </c>
      <c r="L21" s="6">
        <f t="shared" si="3"/>
        <v>0</v>
      </c>
      <c r="M21" s="6">
        <f>25</f>
        <v>25</v>
      </c>
      <c r="N21" s="33" t="s">
        <v>43</v>
      </c>
      <c r="O21" s="33">
        <f>VLOOKUP(N21,вводные!$G$3:$H$27,2,0)</f>
        <v>31.52</v>
      </c>
      <c r="P21" s="6" t="e">
        <f t="shared" si="4"/>
        <v>#N/A</v>
      </c>
      <c r="Q21" s="6" t="e">
        <f t="shared" si="5"/>
        <v>#N/A</v>
      </c>
      <c r="R21" s="15">
        <v>48</v>
      </c>
      <c r="S21" s="5" t="e">
        <f>VLOOKUP(R21,вводные!$A$2:$B$12,2,0)</f>
        <v>#N/A</v>
      </c>
      <c r="T21" s="15">
        <v>114</v>
      </c>
      <c r="U21" s="48" t="e">
        <f t="shared" si="6"/>
        <v>#N/A</v>
      </c>
      <c r="V21" s="7">
        <v>0</v>
      </c>
      <c r="W21" s="50" t="e">
        <f t="shared" si="7"/>
        <v>#N/A</v>
      </c>
      <c r="X21" s="7" t="e">
        <f t="shared" si="8"/>
        <v>#N/A</v>
      </c>
      <c r="Y21" s="20">
        <v>19.059999999999999</v>
      </c>
      <c r="Z21" s="50">
        <f t="shared" si="9"/>
        <v>0</v>
      </c>
      <c r="AA21" s="8" t="e">
        <f t="shared" si="10"/>
        <v>#N/A</v>
      </c>
      <c r="AB21" s="9" t="e">
        <f t="shared" si="11"/>
        <v>#N/A</v>
      </c>
      <c r="AC21" s="9" t="e">
        <f t="shared" si="12"/>
        <v>#N/A</v>
      </c>
    </row>
    <row r="22" spans="1:29" x14ac:dyDescent="0.25">
      <c r="A22" s="45"/>
      <c r="B22" s="30"/>
      <c r="C22" s="31"/>
      <c r="D22" s="29"/>
      <c r="E22" s="28">
        <f t="shared" si="0"/>
        <v>0</v>
      </c>
      <c r="F22" s="18">
        <v>30</v>
      </c>
      <c r="G22" s="18">
        <v>40</v>
      </c>
      <c r="H22" s="18">
        <v>2</v>
      </c>
      <c r="I22" s="4">
        <f t="shared" si="1"/>
        <v>2.4</v>
      </c>
      <c r="J22" s="7">
        <v>20.2</v>
      </c>
      <c r="K22" s="6">
        <f t="shared" si="2"/>
        <v>0</v>
      </c>
      <c r="L22" s="6">
        <f t="shared" si="3"/>
        <v>0</v>
      </c>
      <c r="M22" s="6">
        <f>25</f>
        <v>25</v>
      </c>
      <c r="N22" s="33" t="s">
        <v>43</v>
      </c>
      <c r="O22" s="33">
        <f>VLOOKUP(N22,вводные!$G$3:$H$27,2,0)</f>
        <v>31.52</v>
      </c>
      <c r="P22" s="6" t="e">
        <f t="shared" si="4"/>
        <v>#N/A</v>
      </c>
      <c r="Q22" s="6" t="e">
        <f t="shared" si="5"/>
        <v>#N/A</v>
      </c>
      <c r="R22" s="15">
        <v>49</v>
      </c>
      <c r="S22" s="5" t="e">
        <f>VLOOKUP(R22,вводные!$A$2:$B$12,2,0)</f>
        <v>#N/A</v>
      </c>
      <c r="T22" s="15">
        <v>115</v>
      </c>
      <c r="U22" s="48" t="e">
        <f t="shared" si="6"/>
        <v>#N/A</v>
      </c>
      <c r="V22" s="7">
        <v>0</v>
      </c>
      <c r="W22" s="50" t="e">
        <f t="shared" si="7"/>
        <v>#N/A</v>
      </c>
      <c r="X22" s="7" t="e">
        <f t="shared" si="8"/>
        <v>#N/A</v>
      </c>
      <c r="Y22" s="20">
        <v>20.059999999999999</v>
      </c>
      <c r="Z22" s="50">
        <f t="shared" si="9"/>
        <v>0</v>
      </c>
      <c r="AA22" s="8" t="e">
        <f t="shared" si="10"/>
        <v>#N/A</v>
      </c>
      <c r="AB22" s="9" t="e">
        <f t="shared" si="11"/>
        <v>#N/A</v>
      </c>
      <c r="AC22" s="9" t="e">
        <f t="shared" si="12"/>
        <v>#N/A</v>
      </c>
    </row>
    <row r="23" spans="1:29" x14ac:dyDescent="0.25">
      <c r="A23" s="45"/>
      <c r="B23" s="30"/>
      <c r="C23" s="31"/>
      <c r="D23" s="29"/>
      <c r="E23" s="28">
        <f t="shared" si="0"/>
        <v>0</v>
      </c>
      <c r="F23" s="18">
        <v>30</v>
      </c>
      <c r="G23" s="18">
        <v>40</v>
      </c>
      <c r="H23" s="18">
        <v>2</v>
      </c>
      <c r="I23" s="4">
        <f t="shared" si="1"/>
        <v>2.4</v>
      </c>
      <c r="J23" s="7">
        <v>21.2</v>
      </c>
      <c r="K23" s="6">
        <f t="shared" si="2"/>
        <v>0</v>
      </c>
      <c r="L23" s="6">
        <f t="shared" si="3"/>
        <v>0</v>
      </c>
      <c r="M23" s="6">
        <f>25</f>
        <v>25</v>
      </c>
      <c r="N23" s="33" t="s">
        <v>43</v>
      </c>
      <c r="O23" s="33">
        <f>VLOOKUP(N23,вводные!$G$3:$H$27,2,0)</f>
        <v>31.52</v>
      </c>
      <c r="P23" s="6" t="e">
        <f t="shared" si="4"/>
        <v>#N/A</v>
      </c>
      <c r="Q23" s="6" t="e">
        <f t="shared" si="5"/>
        <v>#N/A</v>
      </c>
      <c r="R23" s="15">
        <v>50</v>
      </c>
      <c r="S23" s="5" t="e">
        <f>VLOOKUP(R23,вводные!$A$2:$B$12,2,0)</f>
        <v>#N/A</v>
      </c>
      <c r="T23" s="15">
        <v>116</v>
      </c>
      <c r="U23" s="48" t="e">
        <f t="shared" si="6"/>
        <v>#N/A</v>
      </c>
      <c r="V23" s="7">
        <v>0</v>
      </c>
      <c r="W23" s="50" t="e">
        <f t="shared" si="7"/>
        <v>#N/A</v>
      </c>
      <c r="X23" s="7" t="e">
        <f t="shared" si="8"/>
        <v>#N/A</v>
      </c>
      <c r="Y23" s="20">
        <v>21.06</v>
      </c>
      <c r="Z23" s="50">
        <f t="shared" si="9"/>
        <v>0</v>
      </c>
      <c r="AA23" s="8" t="e">
        <f t="shared" si="10"/>
        <v>#N/A</v>
      </c>
      <c r="AB23" s="9" t="e">
        <f t="shared" si="11"/>
        <v>#N/A</v>
      </c>
      <c r="AC23" s="9" t="e">
        <f t="shared" si="12"/>
        <v>#N/A</v>
      </c>
    </row>
    <row r="24" spans="1:29" x14ac:dyDescent="0.25">
      <c r="A24" s="45"/>
      <c r="B24" s="30"/>
      <c r="C24" s="31"/>
      <c r="D24" s="29"/>
      <c r="E24" s="28">
        <f t="shared" si="0"/>
        <v>0</v>
      </c>
      <c r="F24" s="18">
        <v>30</v>
      </c>
      <c r="G24" s="18">
        <v>40</v>
      </c>
      <c r="H24" s="18">
        <v>2</v>
      </c>
      <c r="I24" s="4">
        <f t="shared" si="1"/>
        <v>2.4</v>
      </c>
      <c r="J24" s="7">
        <v>22.2</v>
      </c>
      <c r="K24" s="6">
        <f t="shared" si="2"/>
        <v>0</v>
      </c>
      <c r="L24" s="6">
        <f t="shared" si="3"/>
        <v>0</v>
      </c>
      <c r="M24" s="6">
        <f>25</f>
        <v>25</v>
      </c>
      <c r="N24" s="33" t="s">
        <v>43</v>
      </c>
      <c r="O24" s="33">
        <f>VLOOKUP(N24,вводные!$G$3:$H$27,2,0)</f>
        <v>31.52</v>
      </c>
      <c r="P24" s="6" t="e">
        <f t="shared" si="4"/>
        <v>#N/A</v>
      </c>
      <c r="Q24" s="6" t="e">
        <f t="shared" si="5"/>
        <v>#N/A</v>
      </c>
      <c r="R24" s="15">
        <v>51</v>
      </c>
      <c r="S24" s="5" t="e">
        <f>VLOOKUP(R24,вводные!$A$2:$B$12,2,0)</f>
        <v>#N/A</v>
      </c>
      <c r="T24" s="15">
        <v>117</v>
      </c>
      <c r="U24" s="48" t="e">
        <f t="shared" si="6"/>
        <v>#N/A</v>
      </c>
      <c r="V24" s="7">
        <v>0</v>
      </c>
      <c r="W24" s="50" t="e">
        <f t="shared" si="7"/>
        <v>#N/A</v>
      </c>
      <c r="X24" s="7" t="e">
        <f t="shared" si="8"/>
        <v>#N/A</v>
      </c>
      <c r="Y24" s="20">
        <v>22.06</v>
      </c>
      <c r="Z24" s="50">
        <f t="shared" si="9"/>
        <v>0</v>
      </c>
      <c r="AA24" s="8" t="e">
        <f t="shared" si="10"/>
        <v>#N/A</v>
      </c>
      <c r="AB24" s="9" t="e">
        <f t="shared" si="11"/>
        <v>#N/A</v>
      </c>
      <c r="AC24" s="9" t="e">
        <f t="shared" si="12"/>
        <v>#N/A</v>
      </c>
    </row>
    <row r="25" spans="1:29" x14ac:dyDescent="0.25">
      <c r="A25" s="45"/>
      <c r="B25" s="30"/>
      <c r="C25" s="31"/>
      <c r="D25" s="29"/>
      <c r="E25" s="28">
        <f t="shared" si="0"/>
        <v>0</v>
      </c>
      <c r="F25" s="18">
        <v>30</v>
      </c>
      <c r="G25" s="18">
        <v>40</v>
      </c>
      <c r="H25" s="18">
        <v>2</v>
      </c>
      <c r="I25" s="4">
        <f t="shared" si="1"/>
        <v>2.4</v>
      </c>
      <c r="J25" s="7">
        <v>23.2</v>
      </c>
      <c r="K25" s="6">
        <f t="shared" si="2"/>
        <v>0</v>
      </c>
      <c r="L25" s="6">
        <f t="shared" si="3"/>
        <v>0</v>
      </c>
      <c r="M25" s="6">
        <f>25</f>
        <v>25</v>
      </c>
      <c r="N25" s="33" t="s">
        <v>43</v>
      </c>
      <c r="O25" s="33">
        <f>VLOOKUP(N25,вводные!$G$3:$H$27,2,0)</f>
        <v>31.52</v>
      </c>
      <c r="P25" s="6" t="e">
        <f t="shared" si="4"/>
        <v>#N/A</v>
      </c>
      <c r="Q25" s="6" t="e">
        <f t="shared" si="5"/>
        <v>#N/A</v>
      </c>
      <c r="R25" s="15">
        <v>52</v>
      </c>
      <c r="S25" s="5" t="e">
        <f>VLOOKUP(R25,вводные!$A$2:$B$12,2,0)</f>
        <v>#N/A</v>
      </c>
      <c r="T25" s="15">
        <v>118</v>
      </c>
      <c r="U25" s="48" t="e">
        <f t="shared" si="6"/>
        <v>#N/A</v>
      </c>
      <c r="V25" s="7">
        <v>0</v>
      </c>
      <c r="W25" s="50" t="e">
        <f t="shared" si="7"/>
        <v>#N/A</v>
      </c>
      <c r="X25" s="7" t="e">
        <f t="shared" si="8"/>
        <v>#N/A</v>
      </c>
      <c r="Y25" s="20">
        <v>23.06</v>
      </c>
      <c r="Z25" s="50">
        <f t="shared" si="9"/>
        <v>0</v>
      </c>
      <c r="AA25" s="8" t="e">
        <f t="shared" si="10"/>
        <v>#N/A</v>
      </c>
      <c r="AB25" s="9" t="e">
        <f t="shared" si="11"/>
        <v>#N/A</v>
      </c>
      <c r="AC25" s="9" t="e">
        <f t="shared" si="12"/>
        <v>#N/A</v>
      </c>
    </row>
    <row r="26" spans="1:29" x14ac:dyDescent="0.25">
      <c r="A26" s="45"/>
      <c r="B26" s="30"/>
      <c r="C26" s="31"/>
      <c r="D26" s="29"/>
      <c r="E26" s="28">
        <f t="shared" si="0"/>
        <v>0</v>
      </c>
      <c r="F26" s="18">
        <v>30</v>
      </c>
      <c r="G26" s="18">
        <v>40</v>
      </c>
      <c r="H26" s="18">
        <v>2</v>
      </c>
      <c r="I26" s="4">
        <f t="shared" si="1"/>
        <v>2.4</v>
      </c>
      <c r="J26" s="7">
        <v>24.2</v>
      </c>
      <c r="K26" s="6">
        <f t="shared" si="2"/>
        <v>0</v>
      </c>
      <c r="L26" s="6">
        <f t="shared" si="3"/>
        <v>0</v>
      </c>
      <c r="M26" s="6">
        <f>25</f>
        <v>25</v>
      </c>
      <c r="N26" s="33" t="s">
        <v>43</v>
      </c>
      <c r="O26" s="33">
        <f>VLOOKUP(N26,вводные!$G$3:$H$27,2,0)</f>
        <v>31.52</v>
      </c>
      <c r="P26" s="6" t="e">
        <f t="shared" si="4"/>
        <v>#N/A</v>
      </c>
      <c r="Q26" s="6" t="e">
        <f t="shared" si="5"/>
        <v>#N/A</v>
      </c>
      <c r="R26" s="15">
        <v>53</v>
      </c>
      <c r="S26" s="5" t="e">
        <f>VLOOKUP(R26,вводные!$A$2:$B$12,2,0)</f>
        <v>#N/A</v>
      </c>
      <c r="T26" s="15">
        <v>119</v>
      </c>
      <c r="U26" s="48" t="e">
        <f t="shared" si="6"/>
        <v>#N/A</v>
      </c>
      <c r="V26" s="7">
        <v>0</v>
      </c>
      <c r="W26" s="50" t="e">
        <f t="shared" si="7"/>
        <v>#N/A</v>
      </c>
      <c r="X26" s="7" t="e">
        <f t="shared" si="8"/>
        <v>#N/A</v>
      </c>
      <c r="Y26" s="20">
        <v>24.06</v>
      </c>
      <c r="Z26" s="50">
        <f t="shared" si="9"/>
        <v>0</v>
      </c>
      <c r="AA26" s="8" t="e">
        <f t="shared" si="10"/>
        <v>#N/A</v>
      </c>
      <c r="AB26" s="9" t="e">
        <f t="shared" si="11"/>
        <v>#N/A</v>
      </c>
      <c r="AC26" s="9" t="e">
        <f t="shared" si="12"/>
        <v>#N/A</v>
      </c>
    </row>
    <row r="27" spans="1:29" x14ac:dyDescent="0.25">
      <c r="A27" s="45"/>
      <c r="B27" s="30"/>
      <c r="C27" s="31"/>
      <c r="D27" s="29"/>
      <c r="E27" s="28">
        <f t="shared" si="0"/>
        <v>0</v>
      </c>
      <c r="F27" s="18">
        <v>30</v>
      </c>
      <c r="G27" s="18">
        <v>40</v>
      </c>
      <c r="H27" s="18">
        <v>2</v>
      </c>
      <c r="I27" s="4">
        <f t="shared" si="1"/>
        <v>2.4</v>
      </c>
      <c r="J27" s="7">
        <v>25.2</v>
      </c>
      <c r="K27" s="6">
        <f t="shared" si="2"/>
        <v>0</v>
      </c>
      <c r="L27" s="6">
        <f t="shared" si="3"/>
        <v>0</v>
      </c>
      <c r="M27" s="6">
        <f>25</f>
        <v>25</v>
      </c>
      <c r="N27" s="33" t="s">
        <v>43</v>
      </c>
      <c r="O27" s="33">
        <f>VLOOKUP(N27,вводные!$G$3:$H$27,2,0)</f>
        <v>31.52</v>
      </c>
      <c r="P27" s="6" t="e">
        <f t="shared" si="4"/>
        <v>#N/A</v>
      </c>
      <c r="Q27" s="6" t="e">
        <f t="shared" si="5"/>
        <v>#N/A</v>
      </c>
      <c r="R27" s="15">
        <v>54</v>
      </c>
      <c r="S27" s="5" t="e">
        <f>VLOOKUP(R27,вводные!$A$2:$B$12,2,0)</f>
        <v>#N/A</v>
      </c>
      <c r="T27" s="15">
        <v>120</v>
      </c>
      <c r="U27" s="48" t="e">
        <f t="shared" si="6"/>
        <v>#N/A</v>
      </c>
      <c r="V27" s="7">
        <v>0</v>
      </c>
      <c r="W27" s="50" t="e">
        <f t="shared" si="7"/>
        <v>#N/A</v>
      </c>
      <c r="X27" s="7" t="e">
        <f t="shared" si="8"/>
        <v>#N/A</v>
      </c>
      <c r="Y27" s="20">
        <v>25.06</v>
      </c>
      <c r="Z27" s="50">
        <f t="shared" si="9"/>
        <v>0</v>
      </c>
      <c r="AA27" s="8" t="e">
        <f t="shared" si="10"/>
        <v>#N/A</v>
      </c>
      <c r="AB27" s="9" t="e">
        <f t="shared" si="11"/>
        <v>#N/A</v>
      </c>
      <c r="AC27" s="9" t="e">
        <f t="shared" si="12"/>
        <v>#N/A</v>
      </c>
    </row>
    <row r="28" spans="1:29" x14ac:dyDescent="0.25">
      <c r="A28" s="45"/>
      <c r="B28" s="30"/>
      <c r="C28" s="31"/>
      <c r="D28" s="29"/>
      <c r="E28" s="28">
        <f t="shared" si="0"/>
        <v>0</v>
      </c>
      <c r="F28" s="18">
        <v>30</v>
      </c>
      <c r="G28" s="18">
        <v>40</v>
      </c>
      <c r="H28" s="18">
        <v>2</v>
      </c>
      <c r="I28" s="4">
        <f t="shared" si="1"/>
        <v>2.4</v>
      </c>
      <c r="J28" s="7">
        <v>26.2</v>
      </c>
      <c r="K28" s="6">
        <f t="shared" si="2"/>
        <v>0</v>
      </c>
      <c r="L28" s="6">
        <f t="shared" si="3"/>
        <v>0</v>
      </c>
      <c r="M28" s="6">
        <f>25</f>
        <v>25</v>
      </c>
      <c r="N28" s="33" t="s">
        <v>43</v>
      </c>
      <c r="O28" s="33">
        <f>VLOOKUP(N28,вводные!$G$3:$H$27,2,0)</f>
        <v>31.52</v>
      </c>
      <c r="P28" s="6" t="e">
        <f t="shared" si="4"/>
        <v>#N/A</v>
      </c>
      <c r="Q28" s="6" t="e">
        <f t="shared" si="5"/>
        <v>#N/A</v>
      </c>
      <c r="R28" s="15">
        <v>55</v>
      </c>
      <c r="S28" s="5" t="e">
        <f>VLOOKUP(R28,вводные!$A$2:$B$12,2,0)</f>
        <v>#N/A</v>
      </c>
      <c r="T28" s="15">
        <v>121</v>
      </c>
      <c r="U28" s="48" t="e">
        <f t="shared" si="6"/>
        <v>#N/A</v>
      </c>
      <c r="V28" s="7">
        <v>0</v>
      </c>
      <c r="W28" s="50" t="e">
        <f t="shared" si="7"/>
        <v>#N/A</v>
      </c>
      <c r="X28" s="7" t="e">
        <f t="shared" si="8"/>
        <v>#N/A</v>
      </c>
      <c r="Y28" s="20">
        <v>26.06</v>
      </c>
      <c r="Z28" s="50">
        <f t="shared" si="9"/>
        <v>0</v>
      </c>
      <c r="AA28" s="8" t="e">
        <f t="shared" si="10"/>
        <v>#N/A</v>
      </c>
      <c r="AB28" s="9" t="e">
        <f t="shared" si="11"/>
        <v>#N/A</v>
      </c>
      <c r="AC28" s="9" t="e">
        <f t="shared" si="12"/>
        <v>#N/A</v>
      </c>
    </row>
    <row r="29" spans="1:29" x14ac:dyDescent="0.25">
      <c r="A29" s="46"/>
      <c r="B29" s="30"/>
      <c r="C29" s="31"/>
      <c r="D29" s="29"/>
      <c r="E29" s="28">
        <f t="shared" si="0"/>
        <v>0</v>
      </c>
      <c r="F29" s="18">
        <v>30</v>
      </c>
      <c r="G29" s="18">
        <v>40</v>
      </c>
      <c r="H29" s="18">
        <v>2</v>
      </c>
      <c r="I29" s="4">
        <f t="shared" si="1"/>
        <v>2.4</v>
      </c>
      <c r="J29" s="7">
        <v>27.2</v>
      </c>
      <c r="K29" s="6">
        <f t="shared" si="2"/>
        <v>0</v>
      </c>
      <c r="L29" s="6">
        <f t="shared" si="3"/>
        <v>0</v>
      </c>
      <c r="M29" s="6">
        <f>25</f>
        <v>25</v>
      </c>
      <c r="N29" s="33" t="s">
        <v>43</v>
      </c>
      <c r="O29" s="33">
        <f>VLOOKUP(N29,вводные!$G$3:$H$27,2,0)</f>
        <v>31.52</v>
      </c>
      <c r="P29" s="6" t="e">
        <f t="shared" si="4"/>
        <v>#N/A</v>
      </c>
      <c r="Q29" s="6" t="e">
        <f t="shared" si="5"/>
        <v>#N/A</v>
      </c>
      <c r="R29" s="15">
        <v>56</v>
      </c>
      <c r="S29" s="5" t="e">
        <f>VLOOKUP(R29,вводные!$A$2:$B$12,2,0)</f>
        <v>#N/A</v>
      </c>
      <c r="T29" s="15">
        <v>122</v>
      </c>
      <c r="U29" s="48" t="e">
        <f t="shared" si="6"/>
        <v>#N/A</v>
      </c>
      <c r="V29" s="7">
        <v>0</v>
      </c>
      <c r="W29" s="50" t="e">
        <f t="shared" si="7"/>
        <v>#N/A</v>
      </c>
      <c r="X29" s="7" t="e">
        <f t="shared" si="8"/>
        <v>#N/A</v>
      </c>
      <c r="Y29" s="20">
        <v>27.06</v>
      </c>
      <c r="Z29" s="50">
        <f t="shared" si="9"/>
        <v>0</v>
      </c>
      <c r="AA29" s="8" t="e">
        <f t="shared" si="10"/>
        <v>#N/A</v>
      </c>
      <c r="AB29" s="9" t="e">
        <f t="shared" si="11"/>
        <v>#N/A</v>
      </c>
      <c r="AC29" s="9" t="e">
        <f t="shared" si="12"/>
        <v>#N/A</v>
      </c>
    </row>
    <row r="30" spans="1:29" x14ac:dyDescent="0.25">
      <c r="A30" s="36"/>
      <c r="B30" s="37"/>
      <c r="C30" s="37"/>
      <c r="D30" s="37"/>
      <c r="E30" s="37"/>
      <c r="F30" s="38"/>
      <c r="G30" s="38"/>
      <c r="H30" s="38"/>
      <c r="I30" s="36"/>
      <c r="J30" s="39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9"/>
      <c r="X30" s="36"/>
      <c r="Y30" s="36"/>
      <c r="Z30" s="36"/>
      <c r="AA30" s="36"/>
      <c r="AB30" s="36"/>
      <c r="AC30" s="40"/>
    </row>
    <row r="31" spans="1:29" x14ac:dyDescent="0.25">
      <c r="A31" s="36"/>
      <c r="B31" s="37"/>
      <c r="C31" s="37"/>
      <c r="D31" s="37"/>
      <c r="E31" s="37"/>
      <c r="F31" s="38"/>
      <c r="G31" s="38"/>
      <c r="H31" s="38"/>
      <c r="I31" s="36"/>
      <c r="J31" s="40"/>
      <c r="K31" s="41"/>
      <c r="L31" s="41"/>
      <c r="M31" s="41"/>
      <c r="N31" s="36"/>
      <c r="O31" s="36"/>
      <c r="P31" s="41"/>
      <c r="Q31" s="41"/>
      <c r="R31" s="42"/>
      <c r="S31" s="42"/>
      <c r="T31" s="42"/>
      <c r="U31" s="41"/>
      <c r="V31" s="40"/>
      <c r="W31" s="43"/>
      <c r="X31" s="40"/>
      <c r="Y31" s="40"/>
      <c r="Z31" s="43"/>
      <c r="AA31" s="43"/>
      <c r="AB31" s="40"/>
      <c r="AC31" s="40"/>
    </row>
    <row r="32" spans="1:29" x14ac:dyDescent="0.25">
      <c r="A32" s="36"/>
      <c r="B32" s="37"/>
      <c r="C32" s="37"/>
      <c r="D32" s="37"/>
      <c r="E32" s="37"/>
      <c r="F32" s="38"/>
      <c r="G32" s="38"/>
      <c r="H32" s="38"/>
      <c r="I32" s="36"/>
      <c r="J32" s="40"/>
      <c r="K32" s="41"/>
      <c r="L32" s="41"/>
      <c r="M32" s="41"/>
      <c r="N32" s="36"/>
      <c r="O32" s="36"/>
      <c r="P32" s="41"/>
      <c r="Q32" s="41"/>
      <c r="R32" s="42"/>
      <c r="S32" s="42"/>
      <c r="T32" s="42"/>
      <c r="U32" s="41"/>
      <c r="V32" s="40"/>
      <c r="W32" s="43"/>
      <c r="X32" s="40"/>
      <c r="Y32" s="40"/>
      <c r="Z32" s="43"/>
      <c r="AA32" s="43"/>
      <c r="AB32" s="40"/>
      <c r="AC32" s="40"/>
    </row>
    <row r="33" spans="1:29" x14ac:dyDescent="0.25">
      <c r="A33" s="36"/>
      <c r="B33" s="37"/>
      <c r="C33" s="37"/>
      <c r="D33" s="37"/>
      <c r="E33" s="37"/>
      <c r="F33" s="38"/>
      <c r="G33" s="38"/>
      <c r="H33" s="38"/>
      <c r="I33" s="36"/>
      <c r="J33" s="40"/>
      <c r="K33" s="41"/>
      <c r="L33" s="41"/>
      <c r="M33" s="41"/>
      <c r="N33" s="36"/>
      <c r="O33" s="36"/>
      <c r="P33" s="41"/>
      <c r="Q33" s="41"/>
      <c r="R33" s="42"/>
      <c r="S33" s="42"/>
      <c r="T33" s="42"/>
      <c r="U33" s="41"/>
      <c r="V33" s="40"/>
      <c r="W33" s="43"/>
      <c r="X33" s="40"/>
      <c r="Y33" s="40"/>
      <c r="Z33" s="43"/>
      <c r="AA33" s="43"/>
      <c r="AB33" s="40"/>
      <c r="AC33" s="40"/>
    </row>
    <row r="34" spans="1:29" x14ac:dyDescent="0.25">
      <c r="A34" s="36"/>
      <c r="B34" s="37"/>
      <c r="C34" s="37"/>
      <c r="D34" s="37"/>
      <c r="E34" s="37"/>
      <c r="F34" s="38"/>
      <c r="G34" s="38"/>
      <c r="H34" s="38"/>
      <c r="I34" s="36"/>
      <c r="J34" s="40"/>
      <c r="K34" s="41"/>
      <c r="L34" s="41"/>
      <c r="M34" s="41"/>
      <c r="N34" s="36"/>
      <c r="O34" s="36"/>
      <c r="P34" s="41"/>
      <c r="Q34" s="41"/>
      <c r="R34" s="42"/>
      <c r="S34" s="42"/>
      <c r="T34" s="42"/>
      <c r="U34" s="41"/>
      <c r="V34" s="40"/>
      <c r="W34" s="43"/>
      <c r="X34" s="40"/>
      <c r="Y34" s="40"/>
      <c r="Z34" s="43"/>
      <c r="AA34" s="43"/>
      <c r="AB34" s="40"/>
      <c r="AC34" s="40"/>
    </row>
    <row r="35" spans="1:29" x14ac:dyDescent="0.25">
      <c r="A35" s="36"/>
      <c r="B35" s="37"/>
      <c r="C35" s="37"/>
      <c r="D35" s="37"/>
      <c r="E35" s="37"/>
      <c r="F35" s="38"/>
      <c r="G35" s="38"/>
      <c r="H35" s="38"/>
      <c r="I35" s="36"/>
      <c r="J35" s="39"/>
      <c r="K35" s="41"/>
      <c r="L35" s="41"/>
      <c r="M35" s="41"/>
      <c r="N35" s="36"/>
      <c r="O35" s="36"/>
      <c r="P35" s="41"/>
      <c r="Q35" s="41"/>
      <c r="R35" s="36"/>
      <c r="S35" s="42"/>
      <c r="T35" s="36"/>
      <c r="U35" s="41"/>
      <c r="V35" s="36"/>
      <c r="W35" s="43"/>
      <c r="X35" s="40"/>
      <c r="Y35" s="39"/>
      <c r="Z35" s="43"/>
      <c r="AA35" s="43"/>
      <c r="AB35" s="40"/>
      <c r="AC35" s="40"/>
    </row>
    <row r="36" spans="1:29" x14ac:dyDescent="0.25">
      <c r="A36" s="36"/>
      <c r="B36" s="37"/>
      <c r="C36" s="37"/>
      <c r="D36" s="37"/>
      <c r="E36" s="37"/>
      <c r="F36" s="38"/>
      <c r="G36" s="38"/>
      <c r="H36" s="38"/>
      <c r="I36" s="36"/>
      <c r="J36" s="39"/>
      <c r="K36" s="41"/>
      <c r="L36" s="41"/>
      <c r="M36" s="41"/>
      <c r="N36" s="36"/>
      <c r="O36" s="36"/>
      <c r="P36" s="41"/>
      <c r="Q36" s="41"/>
      <c r="R36" s="36"/>
      <c r="S36" s="42"/>
      <c r="T36" s="36"/>
      <c r="U36" s="41"/>
      <c r="V36" s="36"/>
      <c r="W36" s="43"/>
      <c r="X36" s="40"/>
      <c r="Y36" s="39"/>
      <c r="Z36" s="43"/>
      <c r="AA36" s="43"/>
      <c r="AB36" s="40"/>
      <c r="AC36" s="40"/>
    </row>
    <row r="37" spans="1:29" x14ac:dyDescent="0.25">
      <c r="A37" s="36"/>
      <c r="B37" s="37"/>
      <c r="C37" s="37"/>
      <c r="D37" s="37"/>
      <c r="E37" s="37"/>
      <c r="F37" s="38"/>
      <c r="G37" s="38"/>
      <c r="H37" s="38"/>
      <c r="I37" s="36"/>
      <c r="J37" s="39"/>
      <c r="K37" s="41"/>
      <c r="L37" s="41"/>
      <c r="M37" s="41"/>
      <c r="N37" s="36"/>
      <c r="O37" s="36"/>
      <c r="P37" s="41"/>
      <c r="Q37" s="41"/>
      <c r="R37" s="36"/>
      <c r="S37" s="42"/>
      <c r="T37" s="36"/>
      <c r="U37" s="41"/>
      <c r="V37" s="36"/>
      <c r="W37" s="43"/>
      <c r="X37" s="40"/>
      <c r="Y37" s="39"/>
      <c r="Z37" s="43"/>
      <c r="AA37" s="43"/>
      <c r="AB37" s="40"/>
      <c r="AC37" s="40"/>
    </row>
    <row r="38" spans="1:29" x14ac:dyDescent="0.25">
      <c r="A38" s="36"/>
      <c r="B38" s="37"/>
      <c r="C38" s="37"/>
      <c r="D38" s="37"/>
      <c r="E38" s="37"/>
      <c r="F38" s="38"/>
      <c r="G38" s="38"/>
      <c r="H38" s="38"/>
      <c r="I38" s="36"/>
      <c r="J38" s="39"/>
      <c r="K38" s="41"/>
      <c r="L38" s="41"/>
      <c r="M38" s="41"/>
      <c r="N38" s="36"/>
      <c r="O38" s="36"/>
      <c r="P38" s="41"/>
      <c r="Q38" s="41"/>
      <c r="R38" s="36"/>
      <c r="S38" s="42"/>
      <c r="T38" s="36"/>
      <c r="U38" s="41"/>
      <c r="V38" s="36"/>
      <c r="W38" s="43"/>
      <c r="X38" s="40"/>
      <c r="Y38" s="39"/>
      <c r="Z38" s="43"/>
      <c r="AA38" s="43"/>
      <c r="AB38" s="40"/>
      <c r="AC38" s="40"/>
    </row>
    <row r="39" spans="1:29" x14ac:dyDescent="0.25">
      <c r="A39" s="36"/>
      <c r="B39" s="37"/>
      <c r="C39" s="37"/>
      <c r="D39" s="37"/>
      <c r="E39" s="37"/>
      <c r="F39" s="38"/>
      <c r="G39" s="38"/>
      <c r="H39" s="38"/>
      <c r="I39" s="36"/>
      <c r="J39" s="39"/>
      <c r="K39" s="41"/>
      <c r="L39" s="41"/>
      <c r="M39" s="41"/>
      <c r="N39" s="36"/>
      <c r="O39" s="36"/>
      <c r="P39" s="41"/>
      <c r="Q39" s="41"/>
      <c r="R39" s="36"/>
      <c r="S39" s="42"/>
      <c r="T39" s="36"/>
      <c r="U39" s="41"/>
      <c r="V39" s="36"/>
      <c r="W39" s="43"/>
      <c r="X39" s="40"/>
      <c r="Y39" s="39"/>
      <c r="Z39" s="43"/>
      <c r="AA39" s="43"/>
      <c r="AB39" s="40"/>
      <c r="AC39" s="40"/>
    </row>
    <row r="40" spans="1:29" x14ac:dyDescent="0.25">
      <c r="A40" s="36"/>
      <c r="B40" s="37"/>
      <c r="C40" s="37"/>
      <c r="D40" s="37"/>
      <c r="E40" s="37"/>
      <c r="F40" s="38"/>
      <c r="G40" s="38"/>
      <c r="H40" s="38"/>
      <c r="I40" s="36"/>
      <c r="J40" s="39"/>
      <c r="K40" s="41"/>
      <c r="L40" s="41"/>
      <c r="M40" s="41"/>
      <c r="N40" s="36"/>
      <c r="O40" s="36"/>
      <c r="P40" s="41"/>
      <c r="Q40" s="41"/>
      <c r="R40" s="36"/>
      <c r="S40" s="42"/>
      <c r="T40" s="36"/>
      <c r="U40" s="41"/>
      <c r="V40" s="36"/>
      <c r="W40" s="43"/>
      <c r="X40" s="40"/>
      <c r="Y40" s="39"/>
      <c r="Z40" s="43"/>
      <c r="AA40" s="43"/>
      <c r="AB40" s="40"/>
      <c r="AC40" s="40"/>
    </row>
    <row r="41" spans="1:29" x14ac:dyDescent="0.25">
      <c r="A41" s="36"/>
      <c r="B41" s="37"/>
      <c r="C41" s="37"/>
      <c r="D41" s="37"/>
      <c r="E41" s="37"/>
      <c r="F41" s="38"/>
      <c r="G41" s="38"/>
      <c r="H41" s="38"/>
      <c r="I41" s="36"/>
      <c r="J41" s="39"/>
      <c r="K41" s="41"/>
      <c r="L41" s="41"/>
      <c r="M41" s="41"/>
      <c r="N41" s="36"/>
      <c r="O41" s="36"/>
      <c r="P41" s="41"/>
      <c r="Q41" s="41"/>
      <c r="R41" s="36"/>
      <c r="S41" s="42"/>
      <c r="T41" s="36"/>
      <c r="U41" s="41"/>
      <c r="V41" s="36"/>
      <c r="W41" s="43"/>
      <c r="X41" s="40"/>
      <c r="Y41" s="39"/>
      <c r="Z41" s="43"/>
      <c r="AA41" s="43"/>
      <c r="AB41" s="40"/>
      <c r="AC41" s="40"/>
    </row>
    <row r="42" spans="1:29" x14ac:dyDescent="0.25">
      <c r="A42" s="36"/>
      <c r="B42" s="37"/>
      <c r="C42" s="37"/>
      <c r="D42" s="37"/>
      <c r="E42" s="37"/>
      <c r="F42" s="38"/>
      <c r="G42" s="38"/>
      <c r="H42" s="38"/>
      <c r="I42" s="36"/>
      <c r="J42" s="39"/>
      <c r="K42" s="41"/>
      <c r="L42" s="41"/>
      <c r="M42" s="41"/>
      <c r="N42" s="41"/>
      <c r="O42" s="41"/>
      <c r="P42" s="36"/>
      <c r="Q42" s="42"/>
      <c r="R42" s="36"/>
      <c r="S42" s="41"/>
      <c r="T42" s="36"/>
      <c r="U42" s="43"/>
      <c r="V42" s="40"/>
      <c r="W42" s="39"/>
      <c r="X42" s="43"/>
      <c r="Y42" s="43"/>
      <c r="Z42" s="40"/>
      <c r="AA42" s="40"/>
      <c r="AB42" s="36"/>
      <c r="AC42" s="49"/>
    </row>
    <row r="43" spans="1:29" x14ac:dyDescent="0.25">
      <c r="A43" s="36"/>
      <c r="B43" s="37"/>
      <c r="C43" s="37"/>
      <c r="D43" s="37"/>
      <c r="E43" s="37"/>
      <c r="F43" s="38"/>
      <c r="G43" s="38"/>
      <c r="H43" s="38"/>
      <c r="I43" s="36"/>
      <c r="J43" s="39"/>
      <c r="K43" s="41"/>
      <c r="L43" s="41"/>
      <c r="M43" s="41"/>
      <c r="N43" s="41"/>
      <c r="O43" s="41"/>
      <c r="P43" s="36"/>
      <c r="Q43" s="42"/>
      <c r="R43" s="36"/>
      <c r="S43" s="41"/>
      <c r="T43" s="36"/>
      <c r="U43" s="43"/>
      <c r="V43" s="40"/>
      <c r="W43" s="39"/>
      <c r="X43" s="43"/>
      <c r="Y43" s="43"/>
      <c r="Z43" s="40"/>
      <c r="AA43" s="40"/>
      <c r="AB43" s="36"/>
      <c r="AC43" s="49"/>
    </row>
    <row r="44" spans="1:29" x14ac:dyDescent="0.25">
      <c r="A44" s="36"/>
      <c r="B44" s="37"/>
      <c r="C44" s="37"/>
      <c r="D44" s="37"/>
      <c r="E44" s="37"/>
      <c r="F44" s="38"/>
      <c r="G44" s="38"/>
      <c r="H44" s="38"/>
      <c r="I44" s="36"/>
      <c r="J44" s="39"/>
      <c r="K44" s="41"/>
      <c r="L44" s="41"/>
      <c r="M44" s="41"/>
      <c r="N44" s="41"/>
      <c r="O44" s="41"/>
      <c r="P44" s="36"/>
      <c r="Q44" s="42"/>
      <c r="R44" s="36"/>
      <c r="S44" s="41"/>
      <c r="T44" s="36"/>
      <c r="U44" s="43"/>
      <c r="V44" s="40"/>
      <c r="W44" s="39"/>
      <c r="X44" s="43"/>
      <c r="Y44" s="43"/>
      <c r="Z44" s="40"/>
      <c r="AA44" s="40"/>
      <c r="AB44" s="36"/>
      <c r="AC44" s="49"/>
    </row>
    <row r="45" spans="1:29" x14ac:dyDescent="0.25">
      <c r="A45" s="36"/>
      <c r="B45" s="37"/>
      <c r="C45" s="37"/>
      <c r="D45" s="37"/>
      <c r="E45" s="37"/>
      <c r="F45" s="38"/>
      <c r="G45" s="38"/>
      <c r="H45" s="38"/>
      <c r="I45" s="36"/>
      <c r="J45" s="39"/>
      <c r="K45" s="41"/>
      <c r="L45" s="41"/>
      <c r="M45" s="41"/>
      <c r="N45" s="41"/>
      <c r="O45" s="41"/>
      <c r="P45" s="36"/>
      <c r="Q45" s="42"/>
      <c r="R45" s="36"/>
      <c r="S45" s="41"/>
      <c r="T45" s="36"/>
      <c r="U45" s="43"/>
      <c r="V45" s="40"/>
      <c r="W45" s="39"/>
      <c r="X45" s="43"/>
      <c r="Y45" s="43"/>
      <c r="Z45" s="40"/>
      <c r="AA45" s="40"/>
      <c r="AB45" s="36"/>
      <c r="AC45" s="49"/>
    </row>
    <row r="46" spans="1:29" x14ac:dyDescent="0.25">
      <c r="A46" s="36"/>
      <c r="B46" s="37"/>
      <c r="C46" s="37"/>
      <c r="D46" s="37"/>
      <c r="E46" s="37"/>
      <c r="F46" s="38"/>
      <c r="G46" s="38"/>
      <c r="H46" s="38"/>
      <c r="I46" s="36"/>
      <c r="J46" s="39"/>
      <c r="K46" s="41"/>
      <c r="L46" s="41"/>
      <c r="M46" s="41"/>
      <c r="N46" s="41"/>
      <c r="O46" s="41"/>
      <c r="P46" s="36"/>
      <c r="Q46" s="42"/>
      <c r="R46" s="36"/>
      <c r="S46" s="41"/>
      <c r="T46" s="36"/>
      <c r="U46" s="43"/>
      <c r="V46" s="40"/>
      <c r="W46" s="39"/>
      <c r="X46" s="43"/>
      <c r="Y46" s="43"/>
      <c r="Z46" s="40"/>
      <c r="AA46" s="40"/>
      <c r="AB46" s="36"/>
      <c r="AC46" s="49"/>
    </row>
    <row r="47" spans="1:29" x14ac:dyDescent="0.25">
      <c r="A47" s="33"/>
      <c r="B47" s="32"/>
      <c r="C47" s="32"/>
      <c r="D47" s="32"/>
      <c r="E47" s="32"/>
      <c r="F47" s="34"/>
      <c r="G47" s="34"/>
      <c r="H47" s="34"/>
      <c r="I47" s="33"/>
      <c r="J47" s="35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5"/>
      <c r="X47" s="33"/>
      <c r="Y47" s="33"/>
      <c r="Z47" s="33"/>
      <c r="AA47" s="33"/>
      <c r="AB47" s="33"/>
      <c r="AC47" s="33"/>
    </row>
    <row r="48" spans="1:29" x14ac:dyDescent="0.25">
      <c r="A48" s="33"/>
      <c r="B48" s="32"/>
      <c r="C48" s="32"/>
      <c r="D48" s="32"/>
      <c r="E48" s="32"/>
      <c r="F48" s="34"/>
      <c r="G48" s="34"/>
      <c r="H48" s="34"/>
      <c r="I48" s="33"/>
      <c r="J48" s="35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5"/>
      <c r="X48" s="33"/>
      <c r="Y48" s="33"/>
      <c r="Z48" s="33"/>
      <c r="AA48" s="33"/>
      <c r="AB48" s="33"/>
      <c r="AC48" s="33"/>
    </row>
    <row r="49" spans="1:29" x14ac:dyDescent="0.25">
      <c r="A49" s="33"/>
      <c r="B49" s="32"/>
      <c r="C49" s="32"/>
      <c r="D49" s="32"/>
      <c r="E49" s="32"/>
      <c r="F49" s="34"/>
      <c r="G49" s="34"/>
      <c r="H49" s="34"/>
      <c r="I49" s="33"/>
      <c r="J49" s="35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5"/>
      <c r="X49" s="33"/>
      <c r="Y49" s="33"/>
      <c r="Z49" s="33"/>
      <c r="AA49" s="33"/>
      <c r="AB49" s="33"/>
      <c r="AC49" s="33"/>
    </row>
    <row r="50" spans="1:29" x14ac:dyDescent="0.25">
      <c r="A50" s="33"/>
      <c r="B50" s="32"/>
      <c r="C50" s="32"/>
      <c r="D50" s="32"/>
      <c r="E50" s="32"/>
      <c r="F50" s="34"/>
      <c r="G50" s="34"/>
      <c r="H50" s="34"/>
      <c r="I50" s="33"/>
      <c r="J50" s="35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5"/>
      <c r="X50" s="33"/>
      <c r="Y50" s="33"/>
      <c r="Z50" s="33"/>
      <c r="AA50" s="33"/>
      <c r="AB50" s="33"/>
      <c r="AC50" s="33"/>
    </row>
    <row r="51" spans="1:29" x14ac:dyDescent="0.25">
      <c r="A51" s="33"/>
      <c r="B51" s="32"/>
      <c r="C51" s="32"/>
      <c r="D51" s="32"/>
      <c r="E51" s="32"/>
      <c r="F51" s="34"/>
      <c r="G51" s="34"/>
      <c r="H51" s="34"/>
      <c r="I51" s="33"/>
      <c r="J51" s="35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5"/>
      <c r="X51" s="33"/>
      <c r="Y51" s="33"/>
      <c r="Z51" s="33"/>
      <c r="AA51" s="33"/>
      <c r="AB51" s="33"/>
      <c r="AC51" s="33"/>
    </row>
    <row r="52" spans="1:29" x14ac:dyDescent="0.25">
      <c r="A52" s="33"/>
      <c r="B52" s="32"/>
      <c r="C52" s="32"/>
      <c r="D52" s="32"/>
      <c r="E52" s="32"/>
      <c r="F52" s="34"/>
      <c r="G52" s="34"/>
      <c r="H52" s="34"/>
      <c r="I52" s="33"/>
      <c r="J52" s="35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5"/>
      <c r="X52" s="33"/>
      <c r="Y52" s="33"/>
      <c r="Z52" s="33"/>
      <c r="AA52" s="33"/>
      <c r="AB52" s="33"/>
      <c r="AC52" s="33"/>
    </row>
    <row r="53" spans="1:29" x14ac:dyDescent="0.25">
      <c r="A53" s="33"/>
      <c r="B53" s="32"/>
      <c r="C53" s="32"/>
      <c r="D53" s="32"/>
      <c r="E53" s="32"/>
      <c r="F53" s="34"/>
      <c r="G53" s="34"/>
      <c r="H53" s="34"/>
      <c r="I53" s="33"/>
      <c r="J53" s="35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5"/>
      <c r="X53" s="33"/>
      <c r="Y53" s="33"/>
      <c r="Z53" s="33"/>
      <c r="AA53" s="33"/>
      <c r="AB53" s="33"/>
      <c r="AC53" s="33"/>
    </row>
    <row r="54" spans="1:29" x14ac:dyDescent="0.25">
      <c r="A54" s="33"/>
      <c r="B54" s="32"/>
      <c r="C54" s="32"/>
      <c r="D54" s="32"/>
      <c r="E54" s="32"/>
      <c r="F54" s="34"/>
      <c r="G54" s="34"/>
      <c r="H54" s="34"/>
      <c r="I54" s="33"/>
      <c r="J54" s="35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5"/>
      <c r="X54" s="33"/>
      <c r="Y54" s="33"/>
      <c r="Z54" s="33"/>
      <c r="AA54" s="33"/>
      <c r="AB54" s="33"/>
      <c r="AC54" s="33"/>
    </row>
  </sheetData>
  <phoneticPr fontId="8" type="noConversion"/>
  <dataValidations count="1">
    <dataValidation type="list" allowBlank="1" showInputMessage="1" showErrorMessage="1" sqref="R31:R34 R2:R29" xr:uid="{00000000-0002-0000-0000-000000000000}">
      <formula1>ИЛ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27B9AF4-A1D3-4B3C-97F6-4C2538E433D4}">
          <x14:formula1>
            <xm:f>вводные!$G$3:$G$27</xm:f>
          </x14:formula1>
          <xm:sqref>N31:N34 N2:N29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D302C-C46F-47AB-A223-7397FB6B8AF9}">
  <dimension ref="A1:H34"/>
  <sheetViews>
    <sheetView tabSelected="1" workbookViewId="0">
      <selection activeCell="H3" sqref="H3"/>
    </sheetView>
  </sheetViews>
  <sheetFormatPr defaultRowHeight="15" x14ac:dyDescent="0.25"/>
  <cols>
    <col min="1" max="1" width="32.5703125" bestFit="1" customWidth="1"/>
    <col min="2" max="2" width="9.140625" customWidth="1"/>
    <col min="7" max="7" width="10.42578125" bestFit="1" customWidth="1"/>
  </cols>
  <sheetData>
    <row r="1" spans="1:8" ht="100.5" thickBot="1" x14ac:dyDescent="0.3">
      <c r="A1" s="21" t="s">
        <v>23</v>
      </c>
      <c r="B1" s="21" t="s">
        <v>24</v>
      </c>
      <c r="C1" s="21" t="s">
        <v>26</v>
      </c>
      <c r="G1" t="s">
        <v>60</v>
      </c>
    </row>
    <row r="2" spans="1:8" ht="30.75" thickBot="1" x14ac:dyDescent="0.3">
      <c r="A2" s="21">
        <v>29</v>
      </c>
      <c r="B2" s="21">
        <v>1</v>
      </c>
      <c r="C2" s="22">
        <v>0</v>
      </c>
      <c r="G2" s="23" t="s">
        <v>28</v>
      </c>
      <c r="H2" s="23" t="s">
        <v>29</v>
      </c>
    </row>
    <row r="3" spans="1:8" ht="29.25" thickBot="1" x14ac:dyDescent="0.3">
      <c r="A3" s="21">
        <v>30</v>
      </c>
      <c r="B3" s="21">
        <v>1.05</v>
      </c>
      <c r="C3" s="22">
        <v>2.5000000000000001E-3</v>
      </c>
      <c r="G3" s="21" t="s">
        <v>30</v>
      </c>
      <c r="H3" s="21" t="s">
        <v>31</v>
      </c>
    </row>
    <row r="4" spans="1:8" ht="29.25" thickBot="1" x14ac:dyDescent="0.3">
      <c r="A4" s="21">
        <v>31</v>
      </c>
      <c r="B4" s="21">
        <v>1.1100000000000001</v>
      </c>
      <c r="C4" s="22">
        <v>5.4999999999999997E-3</v>
      </c>
      <c r="G4" s="21" t="s">
        <v>32</v>
      </c>
      <c r="H4" s="24">
        <v>19.32</v>
      </c>
    </row>
    <row r="5" spans="1:8" ht="29.25" thickBot="1" x14ac:dyDescent="0.3">
      <c r="A5" s="21">
        <v>32</v>
      </c>
      <c r="B5" s="21">
        <v>1.1599999999999999</v>
      </c>
      <c r="C5" s="22">
        <v>8.0000000000000002E-3</v>
      </c>
      <c r="G5" s="21" t="s">
        <v>33</v>
      </c>
      <c r="H5" s="21" t="s">
        <v>34</v>
      </c>
    </row>
    <row r="6" spans="1:8" ht="29.25" thickBot="1" x14ac:dyDescent="0.3">
      <c r="A6" s="21">
        <v>33</v>
      </c>
      <c r="B6" s="21">
        <v>1.23</v>
      </c>
      <c r="C6" s="22">
        <v>1.15E-2</v>
      </c>
      <c r="G6" s="21" t="s">
        <v>35</v>
      </c>
      <c r="H6" s="24">
        <v>22.37</v>
      </c>
    </row>
    <row r="7" spans="1:8" ht="29.25" thickBot="1" x14ac:dyDescent="0.3">
      <c r="A7" s="21">
        <v>34</v>
      </c>
      <c r="B7" s="21">
        <v>1.28</v>
      </c>
      <c r="C7" s="22">
        <v>1.4E-2</v>
      </c>
      <c r="G7" s="21" t="s">
        <v>36</v>
      </c>
      <c r="H7" s="24">
        <v>23.38</v>
      </c>
    </row>
    <row r="8" spans="1:8" ht="29.25" thickBot="1" x14ac:dyDescent="0.3">
      <c r="A8" s="21">
        <v>35</v>
      </c>
      <c r="B8" s="21">
        <v>1.32</v>
      </c>
      <c r="C8" s="22">
        <v>1.6E-2</v>
      </c>
      <c r="G8" s="21" t="s">
        <v>37</v>
      </c>
      <c r="H8" s="21" t="s">
        <v>38</v>
      </c>
    </row>
    <row r="9" spans="1:8" ht="29.25" thickBot="1" x14ac:dyDescent="0.3">
      <c r="A9" s="21">
        <v>36</v>
      </c>
      <c r="B9" s="21">
        <v>1.36</v>
      </c>
      <c r="C9" s="22">
        <v>1.7999999999999999E-2</v>
      </c>
      <c r="G9" s="21" t="s">
        <v>39</v>
      </c>
      <c r="H9" s="24">
        <v>26.43</v>
      </c>
    </row>
    <row r="10" spans="1:8" ht="29.25" thickBot="1" x14ac:dyDescent="0.3">
      <c r="A10" s="21">
        <v>37</v>
      </c>
      <c r="B10" s="21">
        <v>1.4</v>
      </c>
      <c r="C10" s="22">
        <v>0.02</v>
      </c>
      <c r="G10" s="21" t="s">
        <v>40</v>
      </c>
      <c r="H10" s="21" t="s">
        <v>41</v>
      </c>
    </row>
    <row r="11" spans="1:8" ht="29.25" thickBot="1" x14ac:dyDescent="0.3">
      <c r="A11" s="21">
        <v>38</v>
      </c>
      <c r="B11" s="21">
        <v>1.44</v>
      </c>
      <c r="C11" s="22">
        <v>2.1999999999999999E-2</v>
      </c>
      <c r="G11" s="21" t="s">
        <v>42</v>
      </c>
      <c r="H11" s="24">
        <v>29.48</v>
      </c>
    </row>
    <row r="12" spans="1:8" ht="29.25" thickBot="1" x14ac:dyDescent="0.3">
      <c r="A12" s="21">
        <v>39</v>
      </c>
      <c r="B12" s="21">
        <v>1.48</v>
      </c>
      <c r="C12" s="22">
        <v>2.4E-2</v>
      </c>
      <c r="G12" s="21" t="s">
        <v>43</v>
      </c>
      <c r="H12" s="24">
        <v>31.52</v>
      </c>
    </row>
    <row r="13" spans="1:8" ht="29.25" thickBot="1" x14ac:dyDescent="0.3">
      <c r="A13" s="21">
        <v>40</v>
      </c>
      <c r="B13" s="21">
        <v>1.51</v>
      </c>
      <c r="C13" s="22">
        <v>2.5499999999999998E-2</v>
      </c>
      <c r="G13" s="21" t="s">
        <v>44</v>
      </c>
      <c r="H13" s="24">
        <v>35.58</v>
      </c>
    </row>
    <row r="14" spans="1:8" ht="29.25" thickBot="1" x14ac:dyDescent="0.3">
      <c r="A14" s="21">
        <v>41</v>
      </c>
      <c r="B14" s="21">
        <v>1.54</v>
      </c>
      <c r="C14" s="22">
        <v>2.7E-2</v>
      </c>
      <c r="G14" s="21" t="s">
        <v>45</v>
      </c>
      <c r="H14" s="24">
        <v>38.630000000000003</v>
      </c>
    </row>
    <row r="15" spans="1:8" ht="29.25" thickBot="1" x14ac:dyDescent="0.3">
      <c r="A15" s="21">
        <v>42</v>
      </c>
      <c r="B15" s="21">
        <v>1.57</v>
      </c>
      <c r="C15" s="22">
        <v>2.8500000000000001E-2</v>
      </c>
      <c r="G15" s="21" t="s">
        <v>46</v>
      </c>
      <c r="H15" s="24">
        <v>42.7</v>
      </c>
    </row>
    <row r="16" spans="1:8" ht="29.25" thickBot="1" x14ac:dyDescent="0.3">
      <c r="A16" s="21">
        <v>43</v>
      </c>
      <c r="B16" s="21">
        <v>1.6</v>
      </c>
      <c r="C16" s="22">
        <v>0.03</v>
      </c>
      <c r="G16" s="21" t="s">
        <v>47</v>
      </c>
      <c r="H16" s="24">
        <v>57.95</v>
      </c>
    </row>
    <row r="17" spans="1:8" ht="29.25" thickBot="1" x14ac:dyDescent="0.3">
      <c r="A17" s="21">
        <v>44</v>
      </c>
      <c r="B17" s="21">
        <v>1.63</v>
      </c>
      <c r="C17" s="22">
        <v>3.15E-2</v>
      </c>
      <c r="G17" s="21" t="s">
        <v>48</v>
      </c>
      <c r="H17" s="24">
        <v>62.02</v>
      </c>
    </row>
    <row r="18" spans="1:8" ht="29.25" thickBot="1" x14ac:dyDescent="0.3">
      <c r="A18" s="21">
        <v>45</v>
      </c>
      <c r="B18" s="21">
        <v>1.66</v>
      </c>
      <c r="C18" s="22">
        <v>3.3000000000000002E-2</v>
      </c>
      <c r="G18" s="21" t="s">
        <v>49</v>
      </c>
      <c r="H18" s="24">
        <v>65.069999999999993</v>
      </c>
    </row>
    <row r="19" spans="1:8" ht="29.25" thickBot="1" x14ac:dyDescent="0.3">
      <c r="A19" s="21">
        <v>46</v>
      </c>
      <c r="B19" s="21">
        <v>1.69</v>
      </c>
      <c r="C19" s="22">
        <v>3.4500000000000003E-2</v>
      </c>
      <c r="G19" s="21" t="s">
        <v>50</v>
      </c>
      <c r="H19" s="24">
        <v>69.13</v>
      </c>
    </row>
    <row r="20" spans="1:8" ht="29.25" thickBot="1" x14ac:dyDescent="0.3">
      <c r="A20" s="21">
        <v>47</v>
      </c>
      <c r="B20" s="21">
        <v>1.71</v>
      </c>
      <c r="C20" s="22">
        <v>3.5499999999999997E-2</v>
      </c>
      <c r="G20" s="21" t="s">
        <v>51</v>
      </c>
      <c r="H20" s="24">
        <v>79.3</v>
      </c>
    </row>
    <row r="21" spans="1:8" ht="29.25" thickBot="1" x14ac:dyDescent="0.3">
      <c r="A21" s="21">
        <v>48</v>
      </c>
      <c r="B21" s="21">
        <v>1.73</v>
      </c>
      <c r="C21" s="22">
        <v>3.6499999999999998E-2</v>
      </c>
      <c r="G21" s="21" t="s">
        <v>52</v>
      </c>
      <c r="H21" s="24">
        <v>83.37</v>
      </c>
    </row>
    <row r="22" spans="1:8" ht="29.25" thickBot="1" x14ac:dyDescent="0.3">
      <c r="A22" s="21">
        <v>49</v>
      </c>
      <c r="B22" s="21">
        <v>1.75</v>
      </c>
      <c r="C22" s="22">
        <v>3.7499999999999999E-2</v>
      </c>
      <c r="G22" s="21" t="s">
        <v>53</v>
      </c>
      <c r="H22" s="24">
        <v>87.43</v>
      </c>
    </row>
    <row r="23" spans="1:8" ht="29.25" thickBot="1" x14ac:dyDescent="0.3">
      <c r="A23" s="21">
        <v>50</v>
      </c>
      <c r="B23" s="21">
        <v>1.76</v>
      </c>
      <c r="C23" s="22">
        <v>3.7999999999999999E-2</v>
      </c>
      <c r="G23" s="21" t="s">
        <v>54</v>
      </c>
      <c r="H23" s="21" t="s">
        <v>55</v>
      </c>
    </row>
    <row r="24" spans="1:8" ht="29.25" thickBot="1" x14ac:dyDescent="0.3">
      <c r="A24" s="21">
        <v>51</v>
      </c>
      <c r="B24" s="21">
        <v>1.77</v>
      </c>
      <c r="C24" s="22">
        <v>3.85E-2</v>
      </c>
      <c r="G24" s="21" t="s">
        <v>56</v>
      </c>
      <c r="H24" s="24">
        <v>96.58</v>
      </c>
    </row>
    <row r="25" spans="1:8" ht="29.25" thickBot="1" x14ac:dyDescent="0.3">
      <c r="A25" s="21">
        <v>52</v>
      </c>
      <c r="B25" s="21">
        <v>1.774</v>
      </c>
      <c r="C25" s="22">
        <v>3.8699999999999998E-2</v>
      </c>
      <c r="G25" s="21" t="s">
        <v>57</v>
      </c>
      <c r="H25" s="24">
        <v>101.67</v>
      </c>
    </row>
    <row r="26" spans="1:8" ht="29.25" thickBot="1" x14ac:dyDescent="0.3">
      <c r="A26" s="21">
        <v>53</v>
      </c>
      <c r="B26" s="21">
        <v>1.78</v>
      </c>
      <c r="C26" s="22">
        <v>3.9E-2</v>
      </c>
      <c r="G26" s="21" t="s">
        <v>58</v>
      </c>
      <c r="H26" s="24">
        <v>110.82</v>
      </c>
    </row>
    <row r="27" spans="1:8" ht="29.25" thickBot="1" x14ac:dyDescent="0.3">
      <c r="A27" s="21">
        <v>54</v>
      </c>
      <c r="B27" s="21">
        <v>1.784</v>
      </c>
      <c r="C27" s="22">
        <v>3.9199999999999999E-2</v>
      </c>
      <c r="G27" s="21" t="s">
        <v>59</v>
      </c>
      <c r="H27" s="24">
        <v>118.95</v>
      </c>
    </row>
    <row r="28" spans="1:8" ht="15.75" thickBot="1" x14ac:dyDescent="0.3">
      <c r="A28" s="21">
        <v>55</v>
      </c>
      <c r="B28" s="21">
        <v>1.788</v>
      </c>
      <c r="C28" s="22">
        <v>3.9399999999999998E-2</v>
      </c>
    </row>
    <row r="29" spans="1:8" ht="15.75" thickBot="1" x14ac:dyDescent="0.3">
      <c r="A29" s="21">
        <v>56</v>
      </c>
      <c r="B29" s="21">
        <v>1.79</v>
      </c>
      <c r="C29" s="22">
        <v>3.95E-2</v>
      </c>
    </row>
    <row r="30" spans="1:8" ht="15.75" thickBot="1" x14ac:dyDescent="0.3">
      <c r="A30" s="21">
        <v>57</v>
      </c>
      <c r="B30" s="21">
        <v>1.792</v>
      </c>
      <c r="C30" s="22">
        <v>3.9600000000000003E-2</v>
      </c>
    </row>
    <row r="31" spans="1:8" ht="15.75" thickBot="1" x14ac:dyDescent="0.3">
      <c r="A31" s="21">
        <v>58</v>
      </c>
      <c r="B31" s="21">
        <v>1.794</v>
      </c>
      <c r="C31" s="22">
        <v>3.9699999999999999E-2</v>
      </c>
    </row>
    <row r="32" spans="1:8" ht="15.75" thickBot="1" x14ac:dyDescent="0.3">
      <c r="A32" s="21">
        <v>59</v>
      </c>
      <c r="B32" s="21">
        <v>1.796</v>
      </c>
      <c r="C32" s="22">
        <v>3.9800000000000002E-2</v>
      </c>
    </row>
    <row r="33" spans="1:3" ht="15.75" thickBot="1" x14ac:dyDescent="0.3">
      <c r="A33" s="21">
        <v>60</v>
      </c>
      <c r="B33" s="21">
        <v>1.798</v>
      </c>
      <c r="C33" s="22">
        <v>3.9899999999999998E-2</v>
      </c>
    </row>
    <row r="34" spans="1:3" ht="15.75" thickBot="1" x14ac:dyDescent="0.3">
      <c r="A34" s="21">
        <v>61</v>
      </c>
      <c r="B34" s="21">
        <v>1.8</v>
      </c>
      <c r="C34" s="22">
        <v>0.04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Лист1</vt:lpstr>
      <vt:lpstr>вводные</vt:lpstr>
      <vt:lpstr>ИЛ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Павел</dc:creator>
  <cp:lastModifiedBy>Paul</cp:lastModifiedBy>
  <dcterms:created xsi:type="dcterms:W3CDTF">2024-10-07T20:20:31Z</dcterms:created>
  <dcterms:modified xsi:type="dcterms:W3CDTF">2026-02-03T15:43:55Z</dcterms:modified>
</cp:coreProperties>
</file>