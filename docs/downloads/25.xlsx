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aul\Desktop\"/>
    </mc:Choice>
  </mc:AlternateContent>
  <xr:revisionPtr revIDLastSave="0" documentId="8_{CCB1387F-EC26-4C98-80A8-81665B35F700}" xr6:coauthVersionLast="45" xr6:coauthVersionMax="45" xr10:uidLastSave="{00000000-0000-0000-0000-000000000000}"/>
  <bookViews>
    <workbookView xWindow="4575" yWindow="4425" windowWidth="21600" windowHeight="11385" xr2:uid="{00000000-000D-0000-FFFF-FFFF00000000}"/>
  </bookViews>
  <sheets>
    <sheet name="Лист1" sheetId="1" r:id="rId1"/>
  </sheets>
  <definedNames>
    <definedName name="ИЛ">Лист1!$A$36:$A$46</definedName>
    <definedName name="Индекс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2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I9" i="1"/>
  <c r="E8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I8" i="1"/>
  <c r="P9" i="1"/>
  <c r="R9" i="1" s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P25" i="1"/>
  <c r="P27" i="1"/>
  <c r="P13" i="1"/>
  <c r="P15" i="1"/>
  <c r="W2" i="1"/>
  <c r="L3" i="1"/>
  <c r="L4" i="1"/>
  <c r="L5" i="1"/>
  <c r="L6" i="1"/>
  <c r="L7" i="1"/>
  <c r="L2" i="1"/>
  <c r="R27" i="1" l="1"/>
  <c r="T27" i="1" s="1"/>
  <c r="R15" i="1"/>
  <c r="T15" i="1" s="1"/>
  <c r="R25" i="1"/>
  <c r="T25" i="1" s="1"/>
  <c r="X25" i="1" s="1"/>
  <c r="R13" i="1"/>
  <c r="T13" i="1" s="1"/>
  <c r="R19" i="1"/>
  <c r="P17" i="1"/>
  <c r="R17" i="1" s="1"/>
  <c r="T17" i="1" s="1"/>
  <c r="P29" i="1"/>
  <c r="R29" i="1" s="1"/>
  <c r="T29" i="1" s="1"/>
  <c r="P33" i="1"/>
  <c r="R33" i="1" s="1"/>
  <c r="T33" i="1" s="1"/>
  <c r="X33" i="1" s="1"/>
  <c r="P21" i="1"/>
  <c r="R21" i="1" s="1"/>
  <c r="P20" i="1"/>
  <c r="P31" i="1"/>
  <c r="R31" i="1" s="1"/>
  <c r="P19" i="1"/>
  <c r="P18" i="1"/>
  <c r="P16" i="1"/>
  <c r="P26" i="1"/>
  <c r="P24" i="1"/>
  <c r="P12" i="1"/>
  <c r="R12" i="1" s="1"/>
  <c r="P23" i="1"/>
  <c r="R23" i="1" s="1"/>
  <c r="P11" i="1"/>
  <c r="R11" i="1" s="1"/>
  <c r="P34" i="1"/>
  <c r="P22" i="1"/>
  <c r="P10" i="1"/>
  <c r="P32" i="1"/>
  <c r="R32" i="1" s="1"/>
  <c r="P30" i="1"/>
  <c r="P8" i="1"/>
  <c r="T9" i="1"/>
  <c r="R16" i="1" l="1"/>
  <c r="T16" i="1" s="1"/>
  <c r="R26" i="1"/>
  <c r="T26" i="1" s="1"/>
  <c r="R30" i="1"/>
  <c r="T30" i="1" s="1"/>
  <c r="T22" i="1"/>
  <c r="X22" i="1" s="1"/>
  <c r="R34" i="1"/>
  <c r="T34" i="1" s="1"/>
  <c r="R18" i="1"/>
  <c r="T18" i="1" s="1"/>
  <c r="X18" i="1" s="1"/>
  <c r="T19" i="1"/>
  <c r="U19" i="1" s="1"/>
  <c r="T32" i="1"/>
  <c r="X32" i="1" s="1"/>
  <c r="R8" i="1"/>
  <c r="T8" i="1" s="1"/>
  <c r="R20" i="1"/>
  <c r="T20" i="1" s="1"/>
  <c r="T21" i="1"/>
  <c r="X21" i="1" s="1"/>
  <c r="R22" i="1"/>
  <c r="T12" i="1"/>
  <c r="X12" i="1" s="1"/>
  <c r="R24" i="1"/>
  <c r="T24" i="1" s="1"/>
  <c r="R10" i="1"/>
  <c r="T10" i="1" s="1"/>
  <c r="T31" i="1"/>
  <c r="U31" i="1" s="1"/>
  <c r="T11" i="1"/>
  <c r="X11" i="1" s="1"/>
  <c r="P14" i="1"/>
  <c r="T23" i="1"/>
  <c r="U23" i="1" s="1"/>
  <c r="P28" i="1"/>
  <c r="X29" i="1"/>
  <c r="U29" i="1"/>
  <c r="Y25" i="1"/>
  <c r="Y33" i="1"/>
  <c r="X27" i="1"/>
  <c r="Y27" i="1" s="1"/>
  <c r="U27" i="1"/>
  <c r="U25" i="1"/>
  <c r="U33" i="1"/>
  <c r="X31" i="1"/>
  <c r="U15" i="1"/>
  <c r="X15" i="1"/>
  <c r="X9" i="1"/>
  <c r="U9" i="1"/>
  <c r="X13" i="1"/>
  <c r="U13" i="1"/>
  <c r="X17" i="1"/>
  <c r="U17" i="1"/>
  <c r="Y32" i="1"/>
  <c r="U11" i="1" l="1"/>
  <c r="U32" i="1"/>
  <c r="X19" i="1"/>
  <c r="U21" i="1"/>
  <c r="U8" i="1"/>
  <c r="X8" i="1"/>
  <c r="Y8" i="1" s="1"/>
  <c r="X10" i="1"/>
  <c r="Y10" i="1" s="1"/>
  <c r="U10" i="1"/>
  <c r="U30" i="1"/>
  <c r="X30" i="1"/>
  <c r="Y30" i="1" s="1"/>
  <c r="X26" i="1"/>
  <c r="Y26" i="1" s="1"/>
  <c r="U26" i="1"/>
  <c r="U34" i="1"/>
  <c r="X34" i="1"/>
  <c r="Y34" i="1" s="1"/>
  <c r="X20" i="1"/>
  <c r="Y20" i="1" s="1"/>
  <c r="U20" i="1"/>
  <c r="U24" i="1"/>
  <c r="X24" i="1"/>
  <c r="Y24" i="1" s="1"/>
  <c r="U16" i="1"/>
  <c r="X16" i="1"/>
  <c r="Y16" i="1" s="1"/>
  <c r="R28" i="1"/>
  <c r="T28" i="1" s="1"/>
  <c r="U12" i="1"/>
  <c r="U22" i="1"/>
  <c r="R14" i="1"/>
  <c r="T14" i="1" s="1"/>
  <c r="U18" i="1"/>
  <c r="X23" i="1"/>
  <c r="Y23" i="1" s="1"/>
  <c r="Y21" i="1"/>
  <c r="Y12" i="1"/>
  <c r="Y18" i="1"/>
  <c r="Y22" i="1"/>
  <c r="Y29" i="1"/>
  <c r="Y31" i="1"/>
  <c r="Y17" i="1"/>
  <c r="Y13" i="1"/>
  <c r="Y9" i="1"/>
  <c r="Y19" i="1"/>
  <c r="Y15" i="1"/>
  <c r="Y11" i="1"/>
  <c r="U14" i="1" l="1"/>
  <c r="X14" i="1"/>
  <c r="Y14" i="1" s="1"/>
  <c r="X28" i="1"/>
  <c r="Y28" i="1" s="1"/>
  <c r="U28" i="1"/>
  <c r="E3" i="1"/>
  <c r="I3" i="1"/>
  <c r="K3" i="1"/>
  <c r="W3" i="1"/>
  <c r="E4" i="1"/>
  <c r="I4" i="1"/>
  <c r="K4" i="1"/>
  <c r="W4" i="1"/>
  <c r="E5" i="1"/>
  <c r="I5" i="1"/>
  <c r="K5" i="1"/>
  <c r="W5" i="1"/>
  <c r="E6" i="1"/>
  <c r="I6" i="1"/>
  <c r="K6" i="1"/>
  <c r="W6" i="1"/>
  <c r="E7" i="1"/>
  <c r="I7" i="1"/>
  <c r="K7" i="1"/>
  <c r="W7" i="1"/>
  <c r="E2" i="1"/>
  <c r="K2" i="1"/>
  <c r="I2" i="1"/>
  <c r="P4" i="1" l="1"/>
  <c r="R4" i="1" s="1"/>
  <c r="P7" i="1"/>
  <c r="R7" i="1" s="1"/>
  <c r="P5" i="1"/>
  <c r="R5" i="1" s="1"/>
  <c r="P3" i="1"/>
  <c r="R3" i="1" s="1"/>
  <c r="T7" i="1" l="1"/>
  <c r="X7" i="1" s="1"/>
  <c r="T5" i="1"/>
  <c r="P6" i="1"/>
  <c r="R6" i="1" s="1"/>
  <c r="T4" i="1"/>
  <c r="T3" i="1"/>
  <c r="P2" i="1"/>
  <c r="R2" i="1" l="1"/>
  <c r="T2" i="1" s="1"/>
  <c r="U7" i="1"/>
  <c r="X5" i="1"/>
  <c r="Y5" i="1" s="1"/>
  <c r="U5" i="1"/>
  <c r="T6" i="1"/>
  <c r="X4" i="1"/>
  <c r="U4" i="1"/>
  <c r="U3" i="1"/>
  <c r="X3" i="1"/>
  <c r="Y7" i="1"/>
  <c r="U2" i="1" l="1"/>
  <c r="X2" i="1"/>
  <c r="Y2" i="1" s="1"/>
  <c r="Y3" i="1"/>
  <c r="Y4" i="1"/>
  <c r="U6" i="1"/>
  <c r="X6" i="1"/>
  <c r="Y6" i="1" l="1"/>
</calcChain>
</file>

<file path=xl/sharedStrings.xml><?xml version="1.0" encoding="utf-8"?>
<sst xmlns="http://schemas.openxmlformats.org/spreadsheetml/2006/main" count="32" uniqueCount="32">
  <si>
    <t>Наименование</t>
  </si>
  <si>
    <t>Цена в ЛК</t>
  </si>
  <si>
    <t>Себестоимость</t>
  </si>
  <si>
    <t>Доп. Расходы</t>
  </si>
  <si>
    <t>Цена до склада</t>
  </si>
  <si>
    <t>Эквайринг</t>
  </si>
  <si>
    <t>Комиссия (%)</t>
  </si>
  <si>
    <t>Комиссия (руб)</t>
  </si>
  <si>
    <t>% выкупа</t>
  </si>
  <si>
    <t>Обратная логистика</t>
  </si>
  <si>
    <t>Итоговая логистика</t>
  </si>
  <si>
    <t>ДРР</t>
  </si>
  <si>
    <t>Длина (см)</t>
  </si>
  <si>
    <t>Ширина (см)</t>
  </si>
  <si>
    <t>Высота (см)</t>
  </si>
  <si>
    <t>Объем товара (л)</t>
  </si>
  <si>
    <t>% Удержаний</t>
  </si>
  <si>
    <t>Налог (%)</t>
  </si>
  <si>
    <t>Налог (руб)</t>
  </si>
  <si>
    <t>Прибыль на 1 ед.</t>
  </si>
  <si>
    <t>Рентабельность</t>
  </si>
  <si>
    <t>Тариф логистики</t>
  </si>
  <si>
    <t>Чехол</t>
  </si>
  <si>
    <t>шаровары</t>
  </si>
  <si>
    <t>аирподс</t>
  </si>
  <si>
    <t>тазик</t>
  </si>
  <si>
    <t>клюшки</t>
  </si>
  <si>
    <t>ведро</t>
  </si>
  <si>
    <t>лабубу</t>
  </si>
  <si>
    <t>Всего удержаний WB</t>
  </si>
  <si>
    <t>коэф. Логистики</t>
  </si>
  <si>
    <t>коэф. тер.  распред.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</si>
</sst>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Bahnschrift"/>
      <family val="2"/>
      <charset val="204"/>
    </font>
    <font>
      <sz val="9"/>
      <color theme="0"/>
      <name val="Bahnschrift"/>
      <family val="2"/>
      <charset val="204"/>
    </font>
    <font>
      <sz val="9"/>
      <name val="Bahnschrift"/>
      <family val="2"/>
      <charset val="204"/>
    </font>
    <font>
      <sz val="1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9" fontId="0" fillId="0" borderId="0" xfId="2" applyFont="1"/>
    <xf numFmtId="2" fontId="0" fillId="0" borderId="0" xfId="0" applyNumberFormat="1"/>
    <xf numFmtId="44" fontId="0" fillId="0" borderId="0" xfId="1" applyFont="1"/>
    <xf numFmtId="0" fontId="0" fillId="2" borderId="1" xfId="0" applyFill="1" applyBorder="1"/>
    <xf numFmtId="44" fontId="2" fillId="3" borderId="1" xfId="0" applyNumberFormat="1" applyFont="1" applyFill="1" applyBorder="1"/>
    <xf numFmtId="9" fontId="2" fillId="3" borderId="1" xfId="2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2" fontId="3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/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9" fontId="4" fillId="5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2" fillId="5" borderId="1" xfId="2" applyFont="1" applyFill="1" applyBorder="1"/>
    <xf numFmtId="44" fontId="2" fillId="5" borderId="1" xfId="1" applyFont="1" applyFill="1" applyBorder="1"/>
    <xf numFmtId="0" fontId="3" fillId="6" borderId="1" xfId="0" applyFont="1" applyFill="1" applyBorder="1" applyAlignment="1">
      <alignment horizontal="center" vertical="center"/>
    </xf>
    <xf numFmtId="44" fontId="3" fillId="6" borderId="1" xfId="1" applyFont="1" applyFill="1" applyBorder="1" applyAlignment="1">
      <alignment horizontal="center" vertical="center"/>
    </xf>
    <xf numFmtId="0" fontId="0" fillId="6" borderId="1" xfId="0" applyFill="1" applyBorder="1"/>
    <xf numFmtId="44" fontId="0" fillId="6" borderId="1" xfId="1" applyFont="1" applyFill="1" applyBorder="1"/>
    <xf numFmtId="0" fontId="2" fillId="5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9" fontId="5" fillId="6" borderId="1" xfId="2" applyFont="1" applyFill="1" applyBorder="1" applyAlignment="1">
      <alignment horizontal="center" vertical="center"/>
    </xf>
    <xf numFmtId="9" fontId="6" fillId="6" borderId="1" xfId="2" applyFont="1" applyFill="1" applyBorder="1"/>
    <xf numFmtId="44" fontId="6" fillId="6" borderId="1" xfId="0" applyNumberFormat="1" applyFont="1" applyFill="1" applyBorder="1"/>
    <xf numFmtId="0" fontId="6" fillId="6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44" fontId="2" fillId="7" borderId="1" xfId="1" applyFont="1" applyFill="1" applyBorder="1"/>
    <xf numFmtId="0" fontId="0" fillId="8" borderId="1" xfId="0" applyFill="1" applyBorder="1"/>
    <xf numFmtId="44" fontId="2" fillId="8" borderId="1" xfId="1" applyFont="1" applyFill="1" applyBorder="1"/>
    <xf numFmtId="44" fontId="2" fillId="8" borderId="1" xfId="0" applyNumberFormat="1" applyFont="1" applyFill="1" applyBorder="1"/>
    <xf numFmtId="9" fontId="2" fillId="8" borderId="1" xfId="2" applyFont="1" applyFill="1" applyBorder="1"/>
    <xf numFmtId="44" fontId="0" fillId="8" borderId="1" xfId="1" applyFont="1" applyFill="1" applyBorder="1"/>
    <xf numFmtId="2" fontId="0" fillId="8" borderId="1" xfId="0" applyNumberFormat="1" applyFill="1" applyBorder="1"/>
    <xf numFmtId="9" fontId="0" fillId="8" borderId="1" xfId="2" applyFont="1" applyFill="1" applyBorder="1"/>
    <xf numFmtId="44" fontId="0" fillId="8" borderId="1" xfId="0" applyNumberFormat="1" applyFill="1" applyBorder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"/>
  <sheetViews>
    <sheetView tabSelected="1" workbookViewId="0">
      <pane xSplit="5" topLeftCell="F1" activePane="topRight" state="frozen"/>
      <selection pane="topRight" activeCell="D43" sqref="D43"/>
    </sheetView>
  </sheetViews>
  <sheetFormatPr defaultRowHeight="15" x14ac:dyDescent="0.25"/>
  <cols>
    <col min="1" max="1" width="14.85546875" bestFit="1" customWidth="1"/>
    <col min="2" max="2" width="12" style="3" bestFit="1" customWidth="1"/>
    <col min="3" max="3" width="15.140625" style="3" bestFit="1" customWidth="1"/>
    <col min="4" max="4" width="13.7109375" style="3" bestFit="1" customWidth="1"/>
    <col min="5" max="5" width="15.28515625" style="3" bestFit="1" customWidth="1"/>
    <col min="6" max="6" width="11" style="2" bestFit="1" customWidth="1"/>
    <col min="7" max="7" width="12.5703125" style="2" bestFit="1" customWidth="1"/>
    <col min="8" max="8" width="11.5703125" style="2" bestFit="1" customWidth="1"/>
    <col min="9" max="9" width="17" bestFit="1" customWidth="1"/>
    <col min="10" max="10" width="13.28515625" style="1" bestFit="1" customWidth="1"/>
    <col min="11" max="11" width="15" bestFit="1" customWidth="1"/>
    <col min="12" max="12" width="10.42578125" bestFit="1" customWidth="1"/>
    <col min="13" max="13" width="14.85546875" bestFit="1" customWidth="1"/>
    <col min="14" max="14" width="19.42578125" bestFit="1" customWidth="1"/>
    <col min="15" max="15" width="17.28515625" bestFit="1" customWidth="1"/>
    <col min="16" max="16" width="19" bestFit="1" customWidth="1"/>
    <col min="17" max="17" width="8.140625" bestFit="1" customWidth="1"/>
    <col min="18" max="18" width="17" bestFit="1" customWidth="1"/>
    <col min="19" max="19" width="13.5703125" bestFit="1" customWidth="1"/>
    <col min="20" max="20" width="18.28515625" style="1" bestFit="1" customWidth="1"/>
    <col min="21" max="21" width="12" bestFit="1" customWidth="1"/>
    <col min="22" max="22" width="16.7109375" bestFit="1" customWidth="1"/>
    <col min="23" max="23" width="16.85546875" bestFit="1" customWidth="1"/>
    <col min="24" max="24" width="14.42578125" bestFit="1" customWidth="1"/>
    <col min="25" max="25" width="14" bestFit="1" customWidth="1"/>
    <col min="26" max="26" width="14.42578125" bestFit="1" customWidth="1"/>
  </cols>
  <sheetData>
    <row r="1" spans="1:26" ht="27.75" customHeight="1" x14ac:dyDescent="0.2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11" t="s">
        <v>12</v>
      </c>
      <c r="G1" s="11" t="s">
        <v>13</v>
      </c>
      <c r="H1" s="11" t="s">
        <v>14</v>
      </c>
      <c r="I1" s="7" t="s">
        <v>15</v>
      </c>
      <c r="J1" s="15" t="s">
        <v>6</v>
      </c>
      <c r="K1" s="16" t="s">
        <v>7</v>
      </c>
      <c r="L1" s="16" t="s">
        <v>5</v>
      </c>
      <c r="M1" s="16" t="s">
        <v>21</v>
      </c>
      <c r="N1" s="16" t="s">
        <v>30</v>
      </c>
      <c r="O1" s="16" t="s">
        <v>31</v>
      </c>
      <c r="P1" s="16" t="s">
        <v>9</v>
      </c>
      <c r="Q1" s="9" t="s">
        <v>8</v>
      </c>
      <c r="R1" s="29" t="s">
        <v>10</v>
      </c>
      <c r="S1" s="24" t="s">
        <v>11</v>
      </c>
      <c r="T1" s="24" t="s">
        <v>29</v>
      </c>
      <c r="U1" s="24" t="s">
        <v>16</v>
      </c>
      <c r="V1" s="25" t="s">
        <v>17</v>
      </c>
      <c r="W1" s="24" t="s">
        <v>18</v>
      </c>
      <c r="X1" s="8" t="s">
        <v>19</v>
      </c>
      <c r="Y1" s="13" t="s">
        <v>20</v>
      </c>
      <c r="Z1" s="14"/>
    </row>
    <row r="2" spans="1:26" x14ac:dyDescent="0.25">
      <c r="A2" s="21" t="s">
        <v>23</v>
      </c>
      <c r="B2" s="22">
        <v>10000</v>
      </c>
      <c r="C2" s="22">
        <v>1300</v>
      </c>
      <c r="D2" s="22">
        <v>270</v>
      </c>
      <c r="E2" s="22">
        <f>C2+D2</f>
        <v>1570</v>
      </c>
      <c r="F2" s="12">
        <v>70</v>
      </c>
      <c r="G2" s="12">
        <v>50</v>
      </c>
      <c r="H2" s="12">
        <v>29</v>
      </c>
      <c r="I2" s="4">
        <f>(F2*G2*H2)/1000</f>
        <v>101.5</v>
      </c>
      <c r="J2" s="17">
        <v>0.25</v>
      </c>
      <c r="K2" s="18">
        <f>B2*J2</f>
        <v>2500</v>
      </c>
      <c r="L2" s="18">
        <f>B2*0.01253</f>
        <v>125.3</v>
      </c>
      <c r="M2" s="18">
        <f>((I2-1)*14+46)*N2*O2</f>
        <v>1453</v>
      </c>
      <c r="N2" s="23">
        <v>1</v>
      </c>
      <c r="O2" s="23">
        <v>1</v>
      </c>
      <c r="P2" s="18">
        <f>M2+15</f>
        <v>1468</v>
      </c>
      <c r="Q2" s="10">
        <v>80</v>
      </c>
      <c r="R2" s="30">
        <f>((M2+P2)*(100-Q2))/(100-(100-Q2))+M2</f>
        <v>2183.25</v>
      </c>
      <c r="S2" s="26">
        <v>0.1</v>
      </c>
      <c r="T2" s="27">
        <f>K2+L2+R2+(B2*S2)</f>
        <v>5808.55</v>
      </c>
      <c r="U2" s="26">
        <f>T2/B2</f>
        <v>0.58085500000000001</v>
      </c>
      <c r="V2" s="26">
        <v>0.06</v>
      </c>
      <c r="W2" s="27">
        <f>B2*V2</f>
        <v>600</v>
      </c>
      <c r="X2" s="5">
        <f>B2-E2-T2-W2</f>
        <v>2021.4499999999998</v>
      </c>
      <c r="Y2" s="6">
        <f>X2/B2</f>
        <v>0.20214499999999999</v>
      </c>
      <c r="Z2" s="6"/>
    </row>
    <row r="3" spans="1:26" x14ac:dyDescent="0.25">
      <c r="A3" s="21" t="s">
        <v>24</v>
      </c>
      <c r="B3" s="22">
        <v>10000</v>
      </c>
      <c r="C3" s="22">
        <v>1300</v>
      </c>
      <c r="D3" s="22">
        <v>270</v>
      </c>
      <c r="E3" s="22">
        <f t="shared" ref="E3:E8" si="0">C3+D3</f>
        <v>1570</v>
      </c>
      <c r="F3" s="12">
        <v>65</v>
      </c>
      <c r="G3" s="12">
        <v>47</v>
      </c>
      <c r="H3" s="12">
        <v>27</v>
      </c>
      <c r="I3" s="4">
        <f t="shared" ref="I3:I34" si="1">(F3*G3*H3)/1000</f>
        <v>82.484999999999999</v>
      </c>
      <c r="J3" s="17">
        <v>0.25</v>
      </c>
      <c r="K3" s="18">
        <f t="shared" ref="K3:K34" si="2">B3*J3</f>
        <v>2500</v>
      </c>
      <c r="L3" s="18">
        <f t="shared" ref="L3:L34" si="3">B3*0.01253</f>
        <v>125.3</v>
      </c>
      <c r="M3" s="18">
        <f t="shared" ref="M3:M8" si="4">((I3-1)*14+46)*N3*O3</f>
        <v>1186.79</v>
      </c>
      <c r="N3" s="23">
        <v>1</v>
      </c>
      <c r="O3" s="23">
        <v>1</v>
      </c>
      <c r="P3" s="18">
        <f>M3+15</f>
        <v>1201.79</v>
      </c>
      <c r="Q3" s="10">
        <v>80</v>
      </c>
      <c r="R3" s="30">
        <f>((M3+P3)*(100-Q3))/(100-(100-Q3))+M3</f>
        <v>1783.9349999999999</v>
      </c>
      <c r="S3" s="26">
        <v>0.1</v>
      </c>
      <c r="T3" s="27">
        <f>K3+L3+R3+(B3*S3)</f>
        <v>5409.2350000000006</v>
      </c>
      <c r="U3" s="26">
        <f>T3/B3</f>
        <v>0.54092350000000011</v>
      </c>
      <c r="V3" s="26">
        <v>0.06</v>
      </c>
      <c r="W3" s="27">
        <f>B3*V3</f>
        <v>600</v>
      </c>
      <c r="X3" s="5">
        <f>B3-E3-T3-W3</f>
        <v>2420.7649999999994</v>
      </c>
      <c r="Y3" s="6">
        <f>X3/B3</f>
        <v>0.24207649999999994</v>
      </c>
      <c r="Z3" s="6"/>
    </row>
    <row r="4" spans="1:26" x14ac:dyDescent="0.25">
      <c r="A4" s="21" t="s">
        <v>25</v>
      </c>
      <c r="B4" s="22">
        <v>10000</v>
      </c>
      <c r="C4" s="22">
        <v>1300</v>
      </c>
      <c r="D4" s="22">
        <v>270</v>
      </c>
      <c r="E4" s="22">
        <f t="shared" si="0"/>
        <v>1570</v>
      </c>
      <c r="F4" s="12">
        <v>60</v>
      </c>
      <c r="G4" s="12">
        <v>44</v>
      </c>
      <c r="H4" s="12">
        <v>25</v>
      </c>
      <c r="I4" s="4">
        <f t="shared" si="1"/>
        <v>66</v>
      </c>
      <c r="J4" s="17">
        <v>0.25</v>
      </c>
      <c r="K4" s="18">
        <f t="shared" si="2"/>
        <v>2500</v>
      </c>
      <c r="L4" s="18">
        <f t="shared" si="3"/>
        <v>125.3</v>
      </c>
      <c r="M4" s="18">
        <f t="shared" si="4"/>
        <v>956</v>
      </c>
      <c r="N4" s="23">
        <v>1</v>
      </c>
      <c r="O4" s="23">
        <v>1</v>
      </c>
      <c r="P4" s="18">
        <f>M4+15</f>
        <v>971</v>
      </c>
      <c r="Q4" s="10">
        <v>80</v>
      </c>
      <c r="R4" s="30">
        <f>((M4+P4)*(100-Q4))/(100-(100-Q4))+M4</f>
        <v>1437.75</v>
      </c>
      <c r="S4" s="26">
        <v>0.1</v>
      </c>
      <c r="T4" s="27">
        <f>K4+L4+R4+(B4*S4)</f>
        <v>5063.05</v>
      </c>
      <c r="U4" s="26">
        <f>T4/B4</f>
        <v>0.50630500000000001</v>
      </c>
      <c r="V4" s="26">
        <v>0.06</v>
      </c>
      <c r="W4" s="27">
        <f>B4*V4</f>
        <v>600</v>
      </c>
      <c r="X4" s="5">
        <f>B4-E4-T4-W4</f>
        <v>2766.95</v>
      </c>
      <c r="Y4" s="6">
        <f>X4/B4</f>
        <v>0.27669499999999997</v>
      </c>
      <c r="Z4" s="6"/>
    </row>
    <row r="5" spans="1:26" x14ac:dyDescent="0.25">
      <c r="A5" s="21" t="s">
        <v>26</v>
      </c>
      <c r="B5" s="22">
        <v>10000</v>
      </c>
      <c r="C5" s="22">
        <v>1300</v>
      </c>
      <c r="D5" s="22">
        <v>270</v>
      </c>
      <c r="E5" s="22">
        <f t="shared" si="0"/>
        <v>1570</v>
      </c>
      <c r="F5" s="12">
        <v>56</v>
      </c>
      <c r="G5" s="12">
        <v>42</v>
      </c>
      <c r="H5" s="12">
        <v>24</v>
      </c>
      <c r="I5" s="4">
        <f t="shared" si="1"/>
        <v>56.448</v>
      </c>
      <c r="J5" s="17">
        <v>0.25</v>
      </c>
      <c r="K5" s="18">
        <f t="shared" si="2"/>
        <v>2500</v>
      </c>
      <c r="L5" s="18">
        <f t="shared" si="3"/>
        <v>125.3</v>
      </c>
      <c r="M5" s="18">
        <f t="shared" si="4"/>
        <v>822.27200000000005</v>
      </c>
      <c r="N5" s="23">
        <v>1</v>
      </c>
      <c r="O5" s="23">
        <v>1</v>
      </c>
      <c r="P5" s="18">
        <f>M5+15</f>
        <v>837.27200000000005</v>
      </c>
      <c r="Q5" s="10">
        <v>80</v>
      </c>
      <c r="R5" s="30">
        <f>((M5+P5)*(100-Q5))/(100-(100-Q5))+M5</f>
        <v>1237.1580000000001</v>
      </c>
      <c r="S5" s="26">
        <v>0.1</v>
      </c>
      <c r="T5" s="27">
        <f>K5+L5+R5+(B5*S5)</f>
        <v>4862.4580000000005</v>
      </c>
      <c r="U5" s="26">
        <f>T5/B5</f>
        <v>0.48624580000000006</v>
      </c>
      <c r="V5" s="26">
        <v>0.06</v>
      </c>
      <c r="W5" s="27">
        <f>B5*V5</f>
        <v>600</v>
      </c>
      <c r="X5" s="5">
        <f>B5-E5-T5-W5</f>
        <v>2967.5419999999995</v>
      </c>
      <c r="Y5" s="6">
        <f>X5/B5</f>
        <v>0.29675419999999997</v>
      </c>
      <c r="Z5" s="6"/>
    </row>
    <row r="6" spans="1:26" x14ac:dyDescent="0.25">
      <c r="A6" s="21" t="s">
        <v>27</v>
      </c>
      <c r="B6" s="22">
        <v>10000</v>
      </c>
      <c r="C6" s="22">
        <v>1300</v>
      </c>
      <c r="D6" s="22">
        <v>270</v>
      </c>
      <c r="E6" s="22">
        <f t="shared" si="0"/>
        <v>1570</v>
      </c>
      <c r="F6" s="12">
        <v>52</v>
      </c>
      <c r="G6" s="12">
        <v>36</v>
      </c>
      <c r="H6" s="12">
        <v>21</v>
      </c>
      <c r="I6" s="4">
        <f t="shared" si="1"/>
        <v>39.311999999999998</v>
      </c>
      <c r="J6" s="17">
        <v>0.25</v>
      </c>
      <c r="K6" s="18">
        <f t="shared" si="2"/>
        <v>2500</v>
      </c>
      <c r="L6" s="18">
        <f t="shared" si="3"/>
        <v>125.3</v>
      </c>
      <c r="M6" s="18">
        <f t="shared" si="4"/>
        <v>582.36799999999994</v>
      </c>
      <c r="N6" s="23">
        <v>1</v>
      </c>
      <c r="O6" s="23">
        <v>1</v>
      </c>
      <c r="P6" s="18">
        <f>M6+15</f>
        <v>597.36799999999994</v>
      </c>
      <c r="Q6" s="10">
        <v>80</v>
      </c>
      <c r="R6" s="30">
        <f>((M6+P6)*(100-Q6))/(100-(100-Q6))+M6</f>
        <v>877.30199999999991</v>
      </c>
      <c r="S6" s="26">
        <v>0.1</v>
      </c>
      <c r="T6" s="27">
        <f>K6+L6+R6+(B6*S6)</f>
        <v>4502.6019999999999</v>
      </c>
      <c r="U6" s="26">
        <f>T6/B6</f>
        <v>0.4502602</v>
      </c>
      <c r="V6" s="26">
        <v>0.06</v>
      </c>
      <c r="W6" s="27">
        <f>B6*V6</f>
        <v>600</v>
      </c>
      <c r="X6" s="5">
        <f>B6-E6-T6-W6</f>
        <v>3327.3980000000001</v>
      </c>
      <c r="Y6" s="6">
        <f>X6/B6</f>
        <v>0.33273980000000003</v>
      </c>
      <c r="Z6" s="6"/>
    </row>
    <row r="7" spans="1:26" x14ac:dyDescent="0.25">
      <c r="A7" s="21" t="s">
        <v>28</v>
      </c>
      <c r="B7" s="22">
        <v>10000</v>
      </c>
      <c r="C7" s="22">
        <v>1300</v>
      </c>
      <c r="D7" s="22">
        <v>270</v>
      </c>
      <c r="E7" s="22">
        <f t="shared" si="0"/>
        <v>1570</v>
      </c>
      <c r="F7" s="12">
        <v>48</v>
      </c>
      <c r="G7" s="12">
        <v>34</v>
      </c>
      <c r="H7" s="12">
        <v>20</v>
      </c>
      <c r="I7" s="4">
        <f t="shared" si="1"/>
        <v>32.64</v>
      </c>
      <c r="J7" s="17">
        <v>0.25</v>
      </c>
      <c r="K7" s="18">
        <f t="shared" si="2"/>
        <v>2500</v>
      </c>
      <c r="L7" s="18">
        <f t="shared" si="3"/>
        <v>125.3</v>
      </c>
      <c r="M7" s="18">
        <f t="shared" si="4"/>
        <v>488.96000000000004</v>
      </c>
      <c r="N7" s="23">
        <v>1</v>
      </c>
      <c r="O7" s="23">
        <v>1</v>
      </c>
      <c r="P7" s="18">
        <f>M7+15</f>
        <v>503.96000000000004</v>
      </c>
      <c r="Q7" s="10">
        <v>80</v>
      </c>
      <c r="R7" s="30">
        <f>((M7+P7)*(100-Q7))/(100-(100-Q7))+M7</f>
        <v>737.19</v>
      </c>
      <c r="S7" s="26">
        <v>0.1</v>
      </c>
      <c r="T7" s="27">
        <f>K7+L7+R7+(B7*S7)</f>
        <v>4362.49</v>
      </c>
      <c r="U7" s="26">
        <f>T7/B7</f>
        <v>0.436249</v>
      </c>
      <c r="V7" s="26">
        <v>0.06</v>
      </c>
      <c r="W7" s="27">
        <f>B7*V7</f>
        <v>600</v>
      </c>
      <c r="X7" s="5">
        <f>B7-E7-T7-W7</f>
        <v>3467.51</v>
      </c>
      <c r="Y7" s="6">
        <f>X7/B7</f>
        <v>0.34675100000000003</v>
      </c>
      <c r="Z7" s="6"/>
    </row>
    <row r="8" spans="1:26" x14ac:dyDescent="0.25">
      <c r="A8" s="21" t="s">
        <v>22</v>
      </c>
      <c r="B8" s="22">
        <v>10000</v>
      </c>
      <c r="C8" s="22">
        <v>350</v>
      </c>
      <c r="D8" s="22">
        <v>0</v>
      </c>
      <c r="E8" s="22">
        <f t="shared" si="0"/>
        <v>350</v>
      </c>
      <c r="F8" s="12">
        <v>20</v>
      </c>
      <c r="G8" s="12">
        <v>100</v>
      </c>
      <c r="H8" s="12">
        <v>1</v>
      </c>
      <c r="I8" s="4">
        <f t="shared" si="1"/>
        <v>2</v>
      </c>
      <c r="J8" s="17">
        <v>0.25</v>
      </c>
      <c r="K8" s="18">
        <f t="shared" si="2"/>
        <v>2500</v>
      </c>
      <c r="L8" s="18">
        <f t="shared" si="3"/>
        <v>125.3</v>
      </c>
      <c r="M8" s="18">
        <f t="shared" si="4"/>
        <v>60</v>
      </c>
      <c r="N8" s="23">
        <v>1</v>
      </c>
      <c r="O8" s="23">
        <v>1</v>
      </c>
      <c r="P8" s="18">
        <f>M8+15</f>
        <v>75</v>
      </c>
      <c r="Q8" s="10">
        <v>80</v>
      </c>
      <c r="R8" s="30">
        <f>((M8+P8)*(100-Q8))/(100-(100-Q8))+M8</f>
        <v>93.75</v>
      </c>
      <c r="S8" s="26">
        <v>0.1</v>
      </c>
      <c r="T8" s="27">
        <f>K8+L8+R8+(B8*S8)</f>
        <v>3719.05</v>
      </c>
      <c r="U8" s="26">
        <f>T8/B8</f>
        <v>0.37190500000000004</v>
      </c>
      <c r="V8" s="26">
        <v>0.06</v>
      </c>
      <c r="W8" s="27">
        <f>B8*V8</f>
        <v>600</v>
      </c>
      <c r="X8" s="5">
        <f>B8-E8-T8-W8</f>
        <v>5330.95</v>
      </c>
      <c r="Y8" s="6">
        <f>X8/B8</f>
        <v>0.53309499999999999</v>
      </c>
      <c r="Z8" s="6"/>
    </row>
    <row r="9" spans="1:26" x14ac:dyDescent="0.25">
      <c r="A9" s="21"/>
      <c r="B9" s="22"/>
      <c r="C9" s="22"/>
      <c r="D9" s="22"/>
      <c r="E9" s="22"/>
      <c r="F9" s="12"/>
      <c r="G9" s="12"/>
      <c r="H9" s="12"/>
      <c r="I9" s="4">
        <f t="shared" si="1"/>
        <v>0</v>
      </c>
      <c r="J9" s="17"/>
      <c r="K9" s="18">
        <f t="shared" si="2"/>
        <v>0</v>
      </c>
      <c r="L9" s="18">
        <f t="shared" si="3"/>
        <v>0</v>
      </c>
      <c r="M9" s="18">
        <f t="shared" ref="M3:M34" si="5">((I9-1)*14+46)*N9</f>
        <v>0</v>
      </c>
      <c r="N9" s="23"/>
      <c r="O9" s="23"/>
      <c r="P9" s="18">
        <f>M9+15</f>
        <v>15</v>
      </c>
      <c r="Q9" s="10"/>
      <c r="R9" s="30" t="e">
        <f>((M9+P9)*(100-Q9))/(100-(100-Q9))+M9</f>
        <v>#DIV/0!</v>
      </c>
      <c r="S9" s="26"/>
      <c r="T9" s="27" t="e">
        <f>K9+L9+R9+(B9*S9)</f>
        <v>#DIV/0!</v>
      </c>
      <c r="U9" s="26" t="e">
        <f>T9/B9</f>
        <v>#DIV/0!</v>
      </c>
      <c r="V9" s="26"/>
      <c r="W9" s="27">
        <f>B9*V9</f>
        <v>0</v>
      </c>
      <c r="X9" s="5" t="e">
        <f>B9-E9-T9-W9</f>
        <v>#DIV/0!</v>
      </c>
      <c r="Y9" s="6" t="e">
        <f>X9/B9</f>
        <v>#DIV/0!</v>
      </c>
      <c r="Z9" s="6"/>
    </row>
    <row r="10" spans="1:26" x14ac:dyDescent="0.25">
      <c r="A10" s="21"/>
      <c r="B10" s="22"/>
      <c r="C10" s="22"/>
      <c r="D10" s="22"/>
      <c r="E10" s="22"/>
      <c r="F10" s="12"/>
      <c r="G10" s="12"/>
      <c r="H10" s="12"/>
      <c r="I10" s="4">
        <f t="shared" si="1"/>
        <v>0</v>
      </c>
      <c r="J10" s="17"/>
      <c r="K10" s="18">
        <f t="shared" si="2"/>
        <v>0</v>
      </c>
      <c r="L10" s="18">
        <f t="shared" si="3"/>
        <v>0</v>
      </c>
      <c r="M10" s="18">
        <f t="shared" si="5"/>
        <v>0</v>
      </c>
      <c r="N10" s="23"/>
      <c r="O10" s="23"/>
      <c r="P10" s="18">
        <f>M10+15</f>
        <v>15</v>
      </c>
      <c r="Q10" s="10"/>
      <c r="R10" s="30" t="e">
        <f>((M10+P10)*(100-Q10))/(100-(100-Q10))+M10</f>
        <v>#DIV/0!</v>
      </c>
      <c r="S10" s="26"/>
      <c r="T10" s="27" t="e">
        <f>K10+L10+R10+(B10*S10)</f>
        <v>#DIV/0!</v>
      </c>
      <c r="U10" s="26" t="e">
        <f>T10/B10</f>
        <v>#DIV/0!</v>
      </c>
      <c r="V10" s="26"/>
      <c r="W10" s="27">
        <f>B10*V10</f>
        <v>0</v>
      </c>
      <c r="X10" s="5" t="e">
        <f>B10-E10-T10-W10</f>
        <v>#DIV/0!</v>
      </c>
      <c r="Y10" s="6" t="e">
        <f>X10/B10</f>
        <v>#DIV/0!</v>
      </c>
      <c r="Z10" s="6"/>
    </row>
    <row r="11" spans="1:26" x14ac:dyDescent="0.25">
      <c r="A11" s="21"/>
      <c r="B11" s="22"/>
      <c r="C11" s="22"/>
      <c r="D11" s="22"/>
      <c r="E11" s="22"/>
      <c r="F11" s="12"/>
      <c r="G11" s="12"/>
      <c r="H11" s="12"/>
      <c r="I11" s="4">
        <f t="shared" si="1"/>
        <v>0</v>
      </c>
      <c r="J11" s="17"/>
      <c r="K11" s="18">
        <f t="shared" si="2"/>
        <v>0</v>
      </c>
      <c r="L11" s="18">
        <f t="shared" si="3"/>
        <v>0</v>
      </c>
      <c r="M11" s="18">
        <f t="shared" si="5"/>
        <v>0</v>
      </c>
      <c r="N11" s="23"/>
      <c r="O11" s="23"/>
      <c r="P11" s="18">
        <f>M11+15</f>
        <v>15</v>
      </c>
      <c r="Q11" s="10"/>
      <c r="R11" s="30" t="e">
        <f>((M11+P11)*(100-Q11))/(100-(100-Q11))+M11</f>
        <v>#DIV/0!</v>
      </c>
      <c r="S11" s="26"/>
      <c r="T11" s="27" t="e">
        <f>K11+L11+R11+(B11*S11)</f>
        <v>#DIV/0!</v>
      </c>
      <c r="U11" s="26" t="e">
        <f>T11/B11</f>
        <v>#DIV/0!</v>
      </c>
      <c r="V11" s="26"/>
      <c r="W11" s="27">
        <f>B11*V11</f>
        <v>0</v>
      </c>
      <c r="X11" s="5" t="e">
        <f>B11-E11-T11-W11</f>
        <v>#DIV/0!</v>
      </c>
      <c r="Y11" s="6" t="e">
        <f>X11/B11</f>
        <v>#DIV/0!</v>
      </c>
      <c r="Z11" s="6"/>
    </row>
    <row r="12" spans="1:26" x14ac:dyDescent="0.25">
      <c r="A12" s="21"/>
      <c r="B12" s="22"/>
      <c r="C12" s="22"/>
      <c r="D12" s="22"/>
      <c r="E12" s="22"/>
      <c r="F12" s="12"/>
      <c r="G12" s="12"/>
      <c r="H12" s="12"/>
      <c r="I12" s="4">
        <f t="shared" si="1"/>
        <v>0</v>
      </c>
      <c r="J12" s="17"/>
      <c r="K12" s="18">
        <f t="shared" si="2"/>
        <v>0</v>
      </c>
      <c r="L12" s="18">
        <f t="shared" si="3"/>
        <v>0</v>
      </c>
      <c r="M12" s="18">
        <f t="shared" si="5"/>
        <v>0</v>
      </c>
      <c r="N12" s="23"/>
      <c r="O12" s="23"/>
      <c r="P12" s="18">
        <f>M12+15</f>
        <v>15</v>
      </c>
      <c r="Q12" s="10"/>
      <c r="R12" s="30" t="e">
        <f>((M12+P12)*(100-Q12))/(100-(100-Q12))+M12</f>
        <v>#DIV/0!</v>
      </c>
      <c r="S12" s="26"/>
      <c r="T12" s="27" t="e">
        <f>K12+L12+R12+(B12*S12)</f>
        <v>#DIV/0!</v>
      </c>
      <c r="U12" s="26" t="e">
        <f>T12/B12</f>
        <v>#DIV/0!</v>
      </c>
      <c r="V12" s="26"/>
      <c r="W12" s="27">
        <f>B12*V12</f>
        <v>0</v>
      </c>
      <c r="X12" s="5" t="e">
        <f>B12-E12-T12-W12</f>
        <v>#DIV/0!</v>
      </c>
      <c r="Y12" s="6" t="e">
        <f>X12/B12</f>
        <v>#DIV/0!</v>
      </c>
      <c r="Z12" s="6"/>
    </row>
    <row r="13" spans="1:26" x14ac:dyDescent="0.25">
      <c r="A13" s="21"/>
      <c r="B13" s="22"/>
      <c r="C13" s="22"/>
      <c r="D13" s="22"/>
      <c r="E13" s="22"/>
      <c r="F13" s="12"/>
      <c r="G13" s="12"/>
      <c r="H13" s="12"/>
      <c r="I13" s="4">
        <f t="shared" si="1"/>
        <v>0</v>
      </c>
      <c r="J13" s="17"/>
      <c r="K13" s="18">
        <f t="shared" si="2"/>
        <v>0</v>
      </c>
      <c r="L13" s="18">
        <f t="shared" si="3"/>
        <v>0</v>
      </c>
      <c r="M13" s="18">
        <f t="shared" si="5"/>
        <v>0</v>
      </c>
      <c r="N13" s="23"/>
      <c r="O13" s="23"/>
      <c r="P13" s="18">
        <f>M13+15</f>
        <v>15</v>
      </c>
      <c r="Q13" s="10"/>
      <c r="R13" s="30" t="e">
        <f>((M13+P13)*(100-Q13))/(100-(100-Q13))+M13</f>
        <v>#DIV/0!</v>
      </c>
      <c r="S13" s="26"/>
      <c r="T13" s="27" t="e">
        <f>K13+L13+R13+(B13*S13)</f>
        <v>#DIV/0!</v>
      </c>
      <c r="U13" s="26" t="e">
        <f>T13/B13</f>
        <v>#DIV/0!</v>
      </c>
      <c r="V13" s="26"/>
      <c r="W13" s="27">
        <f>B13*V13</f>
        <v>0</v>
      </c>
      <c r="X13" s="5" t="e">
        <f>B13-E13-T13-W13</f>
        <v>#DIV/0!</v>
      </c>
      <c r="Y13" s="6" t="e">
        <f>X13/B13</f>
        <v>#DIV/0!</v>
      </c>
      <c r="Z13" s="6"/>
    </row>
    <row r="14" spans="1:26" x14ac:dyDescent="0.25">
      <c r="A14" s="21"/>
      <c r="B14" s="22"/>
      <c r="C14" s="22"/>
      <c r="D14" s="22"/>
      <c r="E14" s="22"/>
      <c r="F14" s="12"/>
      <c r="G14" s="12"/>
      <c r="H14" s="12"/>
      <c r="I14" s="4">
        <f t="shared" si="1"/>
        <v>0</v>
      </c>
      <c r="J14" s="17"/>
      <c r="K14" s="18">
        <f t="shared" si="2"/>
        <v>0</v>
      </c>
      <c r="L14" s="18">
        <f t="shared" si="3"/>
        <v>0</v>
      </c>
      <c r="M14" s="18">
        <f t="shared" si="5"/>
        <v>0</v>
      </c>
      <c r="N14" s="23"/>
      <c r="O14" s="23"/>
      <c r="P14" s="18">
        <f>M14+15</f>
        <v>15</v>
      </c>
      <c r="Q14" s="10"/>
      <c r="R14" s="30" t="e">
        <f>((M14+P14)*(100-Q14))/(100-(100-Q14))+M14</f>
        <v>#DIV/0!</v>
      </c>
      <c r="S14" s="26"/>
      <c r="T14" s="27" t="e">
        <f>K14+L14+R14+(B14*S14)</f>
        <v>#DIV/0!</v>
      </c>
      <c r="U14" s="26" t="e">
        <f>T14/B14</f>
        <v>#DIV/0!</v>
      </c>
      <c r="V14" s="26"/>
      <c r="W14" s="27">
        <f>B14*V14</f>
        <v>0</v>
      </c>
      <c r="X14" s="5" t="e">
        <f>B14-E14-T14-W14</f>
        <v>#DIV/0!</v>
      </c>
      <c r="Y14" s="6" t="e">
        <f>X14/B14</f>
        <v>#DIV/0!</v>
      </c>
      <c r="Z14" s="6"/>
    </row>
    <row r="15" spans="1:26" x14ac:dyDescent="0.25">
      <c r="A15" s="21"/>
      <c r="B15" s="22"/>
      <c r="C15" s="22"/>
      <c r="D15" s="22"/>
      <c r="E15" s="22"/>
      <c r="F15" s="12"/>
      <c r="G15" s="12"/>
      <c r="H15" s="12"/>
      <c r="I15" s="4">
        <f t="shared" si="1"/>
        <v>0</v>
      </c>
      <c r="J15" s="17"/>
      <c r="K15" s="18">
        <f t="shared" si="2"/>
        <v>0</v>
      </c>
      <c r="L15" s="18">
        <f t="shared" si="3"/>
        <v>0</v>
      </c>
      <c r="M15" s="18">
        <f t="shared" si="5"/>
        <v>0</v>
      </c>
      <c r="N15" s="23"/>
      <c r="O15" s="23"/>
      <c r="P15" s="18">
        <f>M15+15</f>
        <v>15</v>
      </c>
      <c r="Q15" s="10"/>
      <c r="R15" s="30" t="e">
        <f>((M15+P15)*(100-Q15))/(100-(100-Q15))+M15</f>
        <v>#DIV/0!</v>
      </c>
      <c r="S15" s="26"/>
      <c r="T15" s="27" t="e">
        <f>K15+L15+R15+(B15*S15)</f>
        <v>#DIV/0!</v>
      </c>
      <c r="U15" s="26" t="e">
        <f>T15/B15</f>
        <v>#DIV/0!</v>
      </c>
      <c r="V15" s="26"/>
      <c r="W15" s="27">
        <f>B15*V15</f>
        <v>0</v>
      </c>
      <c r="X15" s="5" t="e">
        <f>B15-E15-T15-W15</f>
        <v>#DIV/0!</v>
      </c>
      <c r="Y15" s="6" t="e">
        <f>X15/B15</f>
        <v>#DIV/0!</v>
      </c>
      <c r="Z15" s="6"/>
    </row>
    <row r="16" spans="1:26" x14ac:dyDescent="0.25">
      <c r="A16" s="21"/>
      <c r="B16" s="22"/>
      <c r="C16" s="22"/>
      <c r="D16" s="22"/>
      <c r="E16" s="22"/>
      <c r="F16" s="12"/>
      <c r="G16" s="12"/>
      <c r="H16" s="12"/>
      <c r="I16" s="4">
        <f t="shared" si="1"/>
        <v>0</v>
      </c>
      <c r="J16" s="17"/>
      <c r="K16" s="18">
        <f t="shared" si="2"/>
        <v>0</v>
      </c>
      <c r="L16" s="18">
        <f t="shared" si="3"/>
        <v>0</v>
      </c>
      <c r="M16" s="18">
        <f t="shared" si="5"/>
        <v>0</v>
      </c>
      <c r="N16" s="23"/>
      <c r="O16" s="23"/>
      <c r="P16" s="18">
        <f>M16+15</f>
        <v>15</v>
      </c>
      <c r="Q16" s="10"/>
      <c r="R16" s="30" t="e">
        <f>((M16+P16)*(100-Q16))/(100-(100-Q16))+M16</f>
        <v>#DIV/0!</v>
      </c>
      <c r="S16" s="26"/>
      <c r="T16" s="27" t="e">
        <f>K16+L16+R16+(B16*S16)</f>
        <v>#DIV/0!</v>
      </c>
      <c r="U16" s="26" t="e">
        <f>T16/B16</f>
        <v>#DIV/0!</v>
      </c>
      <c r="V16" s="26"/>
      <c r="W16" s="27">
        <f>B16*V16</f>
        <v>0</v>
      </c>
      <c r="X16" s="5" t="e">
        <f>B16-E16-T16-W16</f>
        <v>#DIV/0!</v>
      </c>
      <c r="Y16" s="6" t="e">
        <f>X16/B16</f>
        <v>#DIV/0!</v>
      </c>
      <c r="Z16" s="6"/>
    </row>
    <row r="17" spans="1:26" x14ac:dyDescent="0.25">
      <c r="A17" s="21"/>
      <c r="B17" s="22"/>
      <c r="C17" s="22"/>
      <c r="D17" s="22"/>
      <c r="E17" s="22"/>
      <c r="F17" s="12"/>
      <c r="G17" s="12"/>
      <c r="H17" s="12"/>
      <c r="I17" s="4">
        <f t="shared" si="1"/>
        <v>0</v>
      </c>
      <c r="J17" s="17"/>
      <c r="K17" s="18">
        <f t="shared" si="2"/>
        <v>0</v>
      </c>
      <c r="L17" s="18">
        <f t="shared" si="3"/>
        <v>0</v>
      </c>
      <c r="M17" s="18">
        <f t="shared" si="5"/>
        <v>0</v>
      </c>
      <c r="N17" s="23"/>
      <c r="O17" s="23"/>
      <c r="P17" s="18">
        <f>M17+15</f>
        <v>15</v>
      </c>
      <c r="Q17" s="10"/>
      <c r="R17" s="30" t="e">
        <f>((M17+P17)*(100-Q17))/(100-(100-Q17))+M17</f>
        <v>#DIV/0!</v>
      </c>
      <c r="S17" s="26"/>
      <c r="T17" s="27" t="e">
        <f>K17+L17+R17+(B17*S17)</f>
        <v>#DIV/0!</v>
      </c>
      <c r="U17" s="26" t="e">
        <f>T17/B17</f>
        <v>#DIV/0!</v>
      </c>
      <c r="V17" s="26"/>
      <c r="W17" s="27">
        <f>B17*V17</f>
        <v>0</v>
      </c>
      <c r="X17" s="5" t="e">
        <f>B17-E17-T17-W17</f>
        <v>#DIV/0!</v>
      </c>
      <c r="Y17" s="6" t="e">
        <f>X17/B17</f>
        <v>#DIV/0!</v>
      </c>
      <c r="Z17" s="6"/>
    </row>
    <row r="18" spans="1:26" x14ac:dyDescent="0.25">
      <c r="A18" s="21"/>
      <c r="B18" s="22"/>
      <c r="C18" s="22"/>
      <c r="D18" s="22"/>
      <c r="E18" s="22"/>
      <c r="F18" s="12"/>
      <c r="G18" s="12"/>
      <c r="H18" s="12"/>
      <c r="I18" s="4">
        <f t="shared" si="1"/>
        <v>0</v>
      </c>
      <c r="J18" s="17"/>
      <c r="K18" s="18">
        <f t="shared" si="2"/>
        <v>0</v>
      </c>
      <c r="L18" s="18">
        <f t="shared" si="3"/>
        <v>0</v>
      </c>
      <c r="M18" s="18">
        <f t="shared" si="5"/>
        <v>0</v>
      </c>
      <c r="N18" s="23"/>
      <c r="O18" s="23"/>
      <c r="P18" s="18">
        <f>M18+15</f>
        <v>15</v>
      </c>
      <c r="Q18" s="10"/>
      <c r="R18" s="30" t="e">
        <f>((M18+P18)*(100-Q18))/(100-(100-Q18))+M18</f>
        <v>#DIV/0!</v>
      </c>
      <c r="S18" s="26"/>
      <c r="T18" s="27" t="e">
        <f>K18+L18+R18+(B18*S18)</f>
        <v>#DIV/0!</v>
      </c>
      <c r="U18" s="26" t="e">
        <f>T18/B18</f>
        <v>#DIV/0!</v>
      </c>
      <c r="V18" s="26"/>
      <c r="W18" s="27">
        <f>B18*V18</f>
        <v>0</v>
      </c>
      <c r="X18" s="5" t="e">
        <f>B18-E18-T18-W18</f>
        <v>#DIV/0!</v>
      </c>
      <c r="Y18" s="6" t="e">
        <f>X18/B18</f>
        <v>#DIV/0!</v>
      </c>
      <c r="Z18" s="6"/>
    </row>
    <row r="19" spans="1:26" x14ac:dyDescent="0.25">
      <c r="A19" s="21"/>
      <c r="B19" s="22"/>
      <c r="C19" s="22"/>
      <c r="D19" s="22"/>
      <c r="E19" s="22"/>
      <c r="F19" s="12"/>
      <c r="G19" s="12"/>
      <c r="H19" s="12"/>
      <c r="I19" s="4">
        <f t="shared" si="1"/>
        <v>0</v>
      </c>
      <c r="J19" s="17"/>
      <c r="K19" s="18">
        <f t="shared" si="2"/>
        <v>0</v>
      </c>
      <c r="L19" s="18">
        <f t="shared" si="3"/>
        <v>0</v>
      </c>
      <c r="M19" s="18">
        <f t="shared" si="5"/>
        <v>0</v>
      </c>
      <c r="N19" s="23"/>
      <c r="O19" s="23"/>
      <c r="P19" s="18">
        <f>M19+15</f>
        <v>15</v>
      </c>
      <c r="Q19" s="10"/>
      <c r="R19" s="30" t="e">
        <f>((M19+P19)*(100-Q19))/(100-(100-Q19))+M19</f>
        <v>#DIV/0!</v>
      </c>
      <c r="S19" s="26"/>
      <c r="T19" s="27" t="e">
        <f>K19+L19+R19+(B19*S19)</f>
        <v>#DIV/0!</v>
      </c>
      <c r="U19" s="26" t="e">
        <f>T19/B19</f>
        <v>#DIV/0!</v>
      </c>
      <c r="V19" s="26"/>
      <c r="W19" s="27">
        <f>B19*V19</f>
        <v>0</v>
      </c>
      <c r="X19" s="5" t="e">
        <f>B19-E19-T19-W19</f>
        <v>#DIV/0!</v>
      </c>
      <c r="Y19" s="6" t="e">
        <f>X19/B19</f>
        <v>#DIV/0!</v>
      </c>
      <c r="Z19" s="6"/>
    </row>
    <row r="20" spans="1:26" x14ac:dyDescent="0.25">
      <c r="A20" s="21"/>
      <c r="B20" s="22"/>
      <c r="C20" s="22"/>
      <c r="D20" s="22"/>
      <c r="E20" s="22"/>
      <c r="F20" s="12"/>
      <c r="G20" s="12"/>
      <c r="H20" s="12"/>
      <c r="I20" s="4">
        <f t="shared" si="1"/>
        <v>0</v>
      </c>
      <c r="J20" s="17"/>
      <c r="K20" s="18">
        <f t="shared" si="2"/>
        <v>0</v>
      </c>
      <c r="L20" s="18">
        <f t="shared" si="3"/>
        <v>0</v>
      </c>
      <c r="M20" s="18">
        <f t="shared" si="5"/>
        <v>0</v>
      </c>
      <c r="N20" s="23"/>
      <c r="O20" s="23"/>
      <c r="P20" s="18">
        <f>M20+15</f>
        <v>15</v>
      </c>
      <c r="Q20" s="10"/>
      <c r="R20" s="30" t="e">
        <f>((M20+P20)*(100-Q20))/(100-(100-Q20))+M20</f>
        <v>#DIV/0!</v>
      </c>
      <c r="S20" s="26"/>
      <c r="T20" s="27" t="e">
        <f>K20+L20+R20+(B20*S20)</f>
        <v>#DIV/0!</v>
      </c>
      <c r="U20" s="26" t="e">
        <f>T20/B20</f>
        <v>#DIV/0!</v>
      </c>
      <c r="V20" s="26"/>
      <c r="W20" s="27">
        <f>B20*V20</f>
        <v>0</v>
      </c>
      <c r="X20" s="5" t="e">
        <f>B20-E20-T20-W20</f>
        <v>#DIV/0!</v>
      </c>
      <c r="Y20" s="6" t="e">
        <f>X20/B20</f>
        <v>#DIV/0!</v>
      </c>
      <c r="Z20" s="6"/>
    </row>
    <row r="21" spans="1:26" x14ac:dyDescent="0.25">
      <c r="A21" s="21"/>
      <c r="B21" s="22"/>
      <c r="C21" s="22"/>
      <c r="D21" s="22"/>
      <c r="E21" s="22"/>
      <c r="F21" s="12"/>
      <c r="G21" s="12"/>
      <c r="H21" s="12"/>
      <c r="I21" s="4">
        <f t="shared" si="1"/>
        <v>0</v>
      </c>
      <c r="J21" s="17"/>
      <c r="K21" s="18">
        <f t="shared" si="2"/>
        <v>0</v>
      </c>
      <c r="L21" s="18">
        <f t="shared" si="3"/>
        <v>0</v>
      </c>
      <c r="M21" s="18">
        <f t="shared" si="5"/>
        <v>0</v>
      </c>
      <c r="N21" s="23"/>
      <c r="O21" s="23"/>
      <c r="P21" s="18">
        <f>M21+15</f>
        <v>15</v>
      </c>
      <c r="Q21" s="10"/>
      <c r="R21" s="30" t="e">
        <f>((M21+P21)*(100-Q21))/(100-(100-Q21))+M21</f>
        <v>#DIV/0!</v>
      </c>
      <c r="S21" s="28"/>
      <c r="T21" s="27" t="e">
        <f>K21+L21+R21+(B21*S21)</f>
        <v>#DIV/0!</v>
      </c>
      <c r="U21" s="26" t="e">
        <f>T21/B21</f>
        <v>#DIV/0!</v>
      </c>
      <c r="V21" s="26"/>
      <c r="W21" s="27">
        <f>B21*V21</f>
        <v>0</v>
      </c>
      <c r="X21" s="5" t="e">
        <f>B21-E21-T21-W21</f>
        <v>#DIV/0!</v>
      </c>
      <c r="Y21" s="6" t="e">
        <f>X21/B21</f>
        <v>#DIV/0!</v>
      </c>
      <c r="Z21" s="6"/>
    </row>
    <row r="22" spans="1:26" x14ac:dyDescent="0.25">
      <c r="A22" s="21"/>
      <c r="B22" s="22"/>
      <c r="C22" s="22"/>
      <c r="D22" s="22"/>
      <c r="E22" s="22"/>
      <c r="F22" s="12"/>
      <c r="G22" s="12"/>
      <c r="H22" s="12"/>
      <c r="I22" s="4">
        <f t="shared" si="1"/>
        <v>0</v>
      </c>
      <c r="J22" s="17"/>
      <c r="K22" s="18">
        <f t="shared" si="2"/>
        <v>0</v>
      </c>
      <c r="L22" s="18">
        <f t="shared" si="3"/>
        <v>0</v>
      </c>
      <c r="M22" s="18">
        <f t="shared" si="5"/>
        <v>0</v>
      </c>
      <c r="N22" s="23"/>
      <c r="O22" s="23"/>
      <c r="P22" s="18">
        <f>M22+15</f>
        <v>15</v>
      </c>
      <c r="Q22" s="10"/>
      <c r="R22" s="30" t="e">
        <f>((M22+P22)*(100-Q22))/(100-(100-Q22))+M22</f>
        <v>#DIV/0!</v>
      </c>
      <c r="S22" s="28"/>
      <c r="T22" s="27" t="e">
        <f>K22+L22+R22+(B22*S22)</f>
        <v>#DIV/0!</v>
      </c>
      <c r="U22" s="26" t="e">
        <f>T22/B22</f>
        <v>#DIV/0!</v>
      </c>
      <c r="V22" s="26"/>
      <c r="W22" s="27">
        <f>B22*V22</f>
        <v>0</v>
      </c>
      <c r="X22" s="5" t="e">
        <f>B22-E22-T22-W22</f>
        <v>#DIV/0!</v>
      </c>
      <c r="Y22" s="6" t="e">
        <f>X22/B22</f>
        <v>#DIV/0!</v>
      </c>
      <c r="Z22" s="6"/>
    </row>
    <row r="23" spans="1:26" x14ac:dyDescent="0.25">
      <c r="A23" s="21"/>
      <c r="B23" s="22"/>
      <c r="C23" s="22"/>
      <c r="D23" s="22"/>
      <c r="E23" s="22"/>
      <c r="F23" s="12"/>
      <c r="G23" s="12"/>
      <c r="H23" s="12"/>
      <c r="I23" s="4">
        <f t="shared" si="1"/>
        <v>0</v>
      </c>
      <c r="J23" s="17"/>
      <c r="K23" s="18">
        <f t="shared" si="2"/>
        <v>0</v>
      </c>
      <c r="L23" s="18">
        <f t="shared" si="3"/>
        <v>0</v>
      </c>
      <c r="M23" s="18">
        <f t="shared" si="5"/>
        <v>0</v>
      </c>
      <c r="N23" s="23"/>
      <c r="O23" s="23"/>
      <c r="P23" s="18">
        <f>M23+15</f>
        <v>15</v>
      </c>
      <c r="Q23" s="10"/>
      <c r="R23" s="30" t="e">
        <f>((M23+P23)*(100-Q23))/(100-(100-Q23))+M23</f>
        <v>#DIV/0!</v>
      </c>
      <c r="S23" s="28"/>
      <c r="T23" s="27" t="e">
        <f>K23+L23+R23+(B23*S23)</f>
        <v>#DIV/0!</v>
      </c>
      <c r="U23" s="26" t="e">
        <f>T23/B23</f>
        <v>#DIV/0!</v>
      </c>
      <c r="V23" s="26"/>
      <c r="W23" s="27">
        <f>B23*V23</f>
        <v>0</v>
      </c>
      <c r="X23" s="5" t="e">
        <f>B23-E23-T23-W23</f>
        <v>#DIV/0!</v>
      </c>
      <c r="Y23" s="6" t="e">
        <f>X23/B23</f>
        <v>#DIV/0!</v>
      </c>
      <c r="Z23" s="6"/>
    </row>
    <row r="24" spans="1:26" x14ac:dyDescent="0.25">
      <c r="A24" s="21"/>
      <c r="B24" s="22"/>
      <c r="C24" s="22"/>
      <c r="D24" s="22"/>
      <c r="E24" s="22"/>
      <c r="F24" s="12"/>
      <c r="G24" s="12"/>
      <c r="H24" s="12"/>
      <c r="I24" s="4">
        <f t="shared" si="1"/>
        <v>0</v>
      </c>
      <c r="J24" s="17"/>
      <c r="K24" s="18">
        <f t="shared" si="2"/>
        <v>0</v>
      </c>
      <c r="L24" s="18">
        <f t="shared" si="3"/>
        <v>0</v>
      </c>
      <c r="M24" s="18">
        <f t="shared" si="5"/>
        <v>0</v>
      </c>
      <c r="N24" s="23"/>
      <c r="O24" s="23"/>
      <c r="P24" s="18">
        <f>M24+15</f>
        <v>15</v>
      </c>
      <c r="Q24" s="10"/>
      <c r="R24" s="30" t="e">
        <f>((M24+P24)*(100-Q24))/(100-(100-Q24))+M24</f>
        <v>#DIV/0!</v>
      </c>
      <c r="S24" s="28"/>
      <c r="T24" s="27" t="e">
        <f>K24+L24+R24+(B24*S24)</f>
        <v>#DIV/0!</v>
      </c>
      <c r="U24" s="26" t="e">
        <f>T24/B24</f>
        <v>#DIV/0!</v>
      </c>
      <c r="V24" s="26"/>
      <c r="W24" s="27">
        <f>B24*V24</f>
        <v>0</v>
      </c>
      <c r="X24" s="5" t="e">
        <f>B24-E24-T24-W24</f>
        <v>#DIV/0!</v>
      </c>
      <c r="Y24" s="6" t="e">
        <f>X24/B24</f>
        <v>#DIV/0!</v>
      </c>
      <c r="Z24" s="6"/>
    </row>
    <row r="25" spans="1:26" x14ac:dyDescent="0.25">
      <c r="A25" s="21"/>
      <c r="B25" s="22"/>
      <c r="C25" s="22"/>
      <c r="D25" s="22"/>
      <c r="E25" s="22"/>
      <c r="F25" s="12"/>
      <c r="G25" s="12"/>
      <c r="H25" s="12"/>
      <c r="I25" s="4">
        <f t="shared" si="1"/>
        <v>0</v>
      </c>
      <c r="J25" s="17"/>
      <c r="K25" s="18">
        <f t="shared" si="2"/>
        <v>0</v>
      </c>
      <c r="L25" s="18">
        <f t="shared" si="3"/>
        <v>0</v>
      </c>
      <c r="M25" s="18">
        <f t="shared" si="5"/>
        <v>0</v>
      </c>
      <c r="N25" s="23"/>
      <c r="O25" s="23"/>
      <c r="P25" s="18">
        <f>M25+15</f>
        <v>15</v>
      </c>
      <c r="Q25" s="10"/>
      <c r="R25" s="30" t="e">
        <f>((M25+P25)*(100-Q25))/(100-(100-Q25))+M25</f>
        <v>#DIV/0!</v>
      </c>
      <c r="S25" s="28"/>
      <c r="T25" s="27" t="e">
        <f>K25+L25+R25+(B25*S25)</f>
        <v>#DIV/0!</v>
      </c>
      <c r="U25" s="26" t="e">
        <f>T25/B25</f>
        <v>#DIV/0!</v>
      </c>
      <c r="V25" s="26"/>
      <c r="W25" s="27">
        <f>B25*V25</f>
        <v>0</v>
      </c>
      <c r="X25" s="5" t="e">
        <f>B25-E25-T25-W25</f>
        <v>#DIV/0!</v>
      </c>
      <c r="Y25" s="6" t="e">
        <f>X25/B25</f>
        <v>#DIV/0!</v>
      </c>
      <c r="Z25" s="6"/>
    </row>
    <row r="26" spans="1:26" x14ac:dyDescent="0.25">
      <c r="A26" s="21"/>
      <c r="B26" s="22"/>
      <c r="C26" s="22"/>
      <c r="D26" s="22"/>
      <c r="E26" s="22"/>
      <c r="F26" s="12"/>
      <c r="G26" s="12"/>
      <c r="H26" s="12"/>
      <c r="I26" s="4">
        <f t="shared" si="1"/>
        <v>0</v>
      </c>
      <c r="J26" s="17"/>
      <c r="K26" s="18">
        <f t="shared" si="2"/>
        <v>0</v>
      </c>
      <c r="L26" s="18">
        <f t="shared" si="3"/>
        <v>0</v>
      </c>
      <c r="M26" s="18">
        <f t="shared" si="5"/>
        <v>0</v>
      </c>
      <c r="N26" s="23"/>
      <c r="O26" s="23"/>
      <c r="P26" s="18">
        <f>M26+15</f>
        <v>15</v>
      </c>
      <c r="Q26" s="10"/>
      <c r="R26" s="30" t="e">
        <f>((M26+P26)*(100-Q26))/(100-(100-Q26))+M26</f>
        <v>#DIV/0!</v>
      </c>
      <c r="S26" s="28"/>
      <c r="T26" s="27" t="e">
        <f>K26+L26+R26+(B26*S26)</f>
        <v>#DIV/0!</v>
      </c>
      <c r="U26" s="26" t="e">
        <f>T26/B26</f>
        <v>#DIV/0!</v>
      </c>
      <c r="V26" s="26"/>
      <c r="W26" s="27">
        <f>B26*V26</f>
        <v>0</v>
      </c>
      <c r="X26" s="5" t="e">
        <f>B26-E26-T26-W26</f>
        <v>#DIV/0!</v>
      </c>
      <c r="Y26" s="6" t="e">
        <f>X26/B26</f>
        <v>#DIV/0!</v>
      </c>
      <c r="Z26" s="6"/>
    </row>
    <row r="27" spans="1:26" x14ac:dyDescent="0.25">
      <c r="A27" s="21"/>
      <c r="B27" s="22"/>
      <c r="C27" s="22"/>
      <c r="D27" s="22"/>
      <c r="E27" s="22"/>
      <c r="F27" s="12"/>
      <c r="G27" s="12"/>
      <c r="H27" s="12"/>
      <c r="I27" s="4">
        <f t="shared" si="1"/>
        <v>0</v>
      </c>
      <c r="J27" s="17"/>
      <c r="K27" s="18">
        <f t="shared" si="2"/>
        <v>0</v>
      </c>
      <c r="L27" s="18">
        <f t="shared" si="3"/>
        <v>0</v>
      </c>
      <c r="M27" s="18">
        <f t="shared" si="5"/>
        <v>0</v>
      </c>
      <c r="N27" s="23"/>
      <c r="O27" s="23"/>
      <c r="P27" s="18">
        <f>M27+15</f>
        <v>15</v>
      </c>
      <c r="Q27" s="10"/>
      <c r="R27" s="30" t="e">
        <f>((M27+P27)*(100-Q27))/(100-(100-Q27))+M27</f>
        <v>#DIV/0!</v>
      </c>
      <c r="S27" s="28"/>
      <c r="T27" s="27" t="e">
        <f>K27+L27+R27+(B27*S27)</f>
        <v>#DIV/0!</v>
      </c>
      <c r="U27" s="26" t="e">
        <f>T27/B27</f>
        <v>#DIV/0!</v>
      </c>
      <c r="V27" s="26"/>
      <c r="W27" s="27">
        <f>B27*V27</f>
        <v>0</v>
      </c>
      <c r="X27" s="5" t="e">
        <f>B27-E27-T27-W27</f>
        <v>#DIV/0!</v>
      </c>
      <c r="Y27" s="6" t="e">
        <f>X27/B27</f>
        <v>#DIV/0!</v>
      </c>
      <c r="Z27" s="6"/>
    </row>
    <row r="28" spans="1:26" x14ac:dyDescent="0.25">
      <c r="A28" s="21"/>
      <c r="B28" s="22"/>
      <c r="C28" s="22"/>
      <c r="D28" s="22"/>
      <c r="E28" s="22"/>
      <c r="F28" s="12"/>
      <c r="G28" s="12"/>
      <c r="H28" s="12"/>
      <c r="I28" s="4">
        <f t="shared" si="1"/>
        <v>0</v>
      </c>
      <c r="J28" s="17"/>
      <c r="K28" s="18">
        <f t="shared" si="2"/>
        <v>0</v>
      </c>
      <c r="L28" s="18">
        <f t="shared" si="3"/>
        <v>0</v>
      </c>
      <c r="M28" s="18">
        <f t="shared" si="5"/>
        <v>0</v>
      </c>
      <c r="N28" s="23"/>
      <c r="O28" s="23"/>
      <c r="P28" s="18">
        <f>M28+15</f>
        <v>15</v>
      </c>
      <c r="Q28" s="10"/>
      <c r="R28" s="30" t="e">
        <f>((M28+P28)*(100-Q28))/(100-(100-Q28))+M28</f>
        <v>#DIV/0!</v>
      </c>
      <c r="S28" s="28"/>
      <c r="T28" s="27" t="e">
        <f>K28+L28+R28+(B28*S28)</f>
        <v>#DIV/0!</v>
      </c>
      <c r="U28" s="26" t="e">
        <f>T28/B28</f>
        <v>#DIV/0!</v>
      </c>
      <c r="V28" s="26"/>
      <c r="W28" s="27">
        <f>B28*V28</f>
        <v>0</v>
      </c>
      <c r="X28" s="5" t="e">
        <f>B28-E28-T28-W28</f>
        <v>#DIV/0!</v>
      </c>
      <c r="Y28" s="6" t="e">
        <f>X28/B28</f>
        <v>#DIV/0!</v>
      </c>
      <c r="Z28" s="6"/>
    </row>
    <row r="29" spans="1:26" x14ac:dyDescent="0.25">
      <c r="A29" s="21"/>
      <c r="B29" s="22"/>
      <c r="C29" s="22"/>
      <c r="D29" s="22"/>
      <c r="E29" s="22"/>
      <c r="F29" s="12"/>
      <c r="G29" s="12"/>
      <c r="H29" s="12"/>
      <c r="I29" s="4">
        <f t="shared" si="1"/>
        <v>0</v>
      </c>
      <c r="J29" s="17"/>
      <c r="K29" s="18">
        <f t="shared" si="2"/>
        <v>0</v>
      </c>
      <c r="L29" s="18">
        <f t="shared" si="3"/>
        <v>0</v>
      </c>
      <c r="M29" s="18">
        <f t="shared" si="5"/>
        <v>0</v>
      </c>
      <c r="N29" s="23"/>
      <c r="O29" s="23"/>
      <c r="P29" s="18">
        <f>M29+15</f>
        <v>15</v>
      </c>
      <c r="Q29" s="10"/>
      <c r="R29" s="30" t="e">
        <f>((M29+P29)*(100-Q29))/(100-(100-Q29))+M29</f>
        <v>#DIV/0!</v>
      </c>
      <c r="S29" s="28"/>
      <c r="T29" s="27" t="e">
        <f>K29+L29+R29+(B29*S29)</f>
        <v>#DIV/0!</v>
      </c>
      <c r="U29" s="26" t="e">
        <f>T29/B29</f>
        <v>#DIV/0!</v>
      </c>
      <c r="V29" s="26"/>
      <c r="W29" s="27">
        <f>B29*V29</f>
        <v>0</v>
      </c>
      <c r="X29" s="5" t="e">
        <f>B29-E29-T29-W29</f>
        <v>#DIV/0!</v>
      </c>
      <c r="Y29" s="6" t="e">
        <f>X29/B29</f>
        <v>#DIV/0!</v>
      </c>
      <c r="Z29" s="6"/>
    </row>
    <row r="30" spans="1:26" x14ac:dyDescent="0.25">
      <c r="A30" s="21"/>
      <c r="B30" s="22"/>
      <c r="C30" s="22"/>
      <c r="D30" s="22"/>
      <c r="E30" s="22"/>
      <c r="F30" s="12"/>
      <c r="G30" s="12"/>
      <c r="H30" s="12"/>
      <c r="I30" s="4">
        <f t="shared" si="1"/>
        <v>0</v>
      </c>
      <c r="J30" s="17"/>
      <c r="K30" s="18">
        <f t="shared" si="2"/>
        <v>0</v>
      </c>
      <c r="L30" s="18">
        <f t="shared" si="3"/>
        <v>0</v>
      </c>
      <c r="M30" s="18">
        <f t="shared" si="5"/>
        <v>0</v>
      </c>
      <c r="N30" s="23"/>
      <c r="O30" s="23"/>
      <c r="P30" s="18">
        <f>M30+15</f>
        <v>15</v>
      </c>
      <c r="Q30" s="10"/>
      <c r="R30" s="30" t="e">
        <f>((M30+P30)*(100-Q30))/(100-(100-Q30))+M30</f>
        <v>#DIV/0!</v>
      </c>
      <c r="S30" s="28"/>
      <c r="T30" s="27" t="e">
        <f>K30+L30+R30+(B30*S30)</f>
        <v>#DIV/0!</v>
      </c>
      <c r="U30" s="26" t="e">
        <f>T30/B30</f>
        <v>#DIV/0!</v>
      </c>
      <c r="V30" s="26"/>
      <c r="W30" s="27">
        <f>B30*V30</f>
        <v>0</v>
      </c>
      <c r="X30" s="5" t="e">
        <f>B30-E30-T30-W30</f>
        <v>#DIV/0!</v>
      </c>
      <c r="Y30" s="6" t="e">
        <f>X30/B30</f>
        <v>#DIV/0!</v>
      </c>
      <c r="Z30" s="6"/>
    </row>
    <row r="31" spans="1:26" x14ac:dyDescent="0.25">
      <c r="A31" s="21"/>
      <c r="B31" s="22"/>
      <c r="C31" s="22"/>
      <c r="D31" s="22"/>
      <c r="E31" s="22"/>
      <c r="F31" s="12"/>
      <c r="G31" s="12"/>
      <c r="H31" s="12"/>
      <c r="I31" s="4">
        <f t="shared" si="1"/>
        <v>0</v>
      </c>
      <c r="J31" s="17"/>
      <c r="K31" s="18">
        <f t="shared" si="2"/>
        <v>0</v>
      </c>
      <c r="L31" s="18">
        <f t="shared" si="3"/>
        <v>0</v>
      </c>
      <c r="M31" s="18">
        <f t="shared" si="5"/>
        <v>0</v>
      </c>
      <c r="N31" s="23"/>
      <c r="O31" s="23"/>
      <c r="P31" s="18">
        <f>M31+15</f>
        <v>15</v>
      </c>
      <c r="Q31" s="10"/>
      <c r="R31" s="30" t="e">
        <f>((M31+P31)*(100-Q31))/(100-(100-Q31))+M31</f>
        <v>#DIV/0!</v>
      </c>
      <c r="S31" s="28"/>
      <c r="T31" s="27" t="e">
        <f>K31+L31+R31+(B31*S31)</f>
        <v>#DIV/0!</v>
      </c>
      <c r="U31" s="26" t="e">
        <f>T31/B31</f>
        <v>#DIV/0!</v>
      </c>
      <c r="V31" s="26"/>
      <c r="W31" s="27">
        <f>B31*V31</f>
        <v>0</v>
      </c>
      <c r="X31" s="5" t="e">
        <f>B31-E31-T31-W31</f>
        <v>#DIV/0!</v>
      </c>
      <c r="Y31" s="6" t="e">
        <f>X31/B31</f>
        <v>#DIV/0!</v>
      </c>
      <c r="Z31" s="6"/>
    </row>
    <row r="32" spans="1:26" x14ac:dyDescent="0.25">
      <c r="A32" s="21"/>
      <c r="B32" s="22"/>
      <c r="C32" s="22"/>
      <c r="D32" s="22"/>
      <c r="E32" s="22"/>
      <c r="F32" s="12"/>
      <c r="G32" s="12"/>
      <c r="H32" s="12"/>
      <c r="I32" s="4">
        <f t="shared" si="1"/>
        <v>0</v>
      </c>
      <c r="J32" s="17"/>
      <c r="K32" s="18">
        <f t="shared" si="2"/>
        <v>0</v>
      </c>
      <c r="L32" s="18">
        <f t="shared" si="3"/>
        <v>0</v>
      </c>
      <c r="M32" s="18">
        <f t="shared" si="5"/>
        <v>0</v>
      </c>
      <c r="N32" s="23"/>
      <c r="O32" s="23"/>
      <c r="P32" s="18">
        <f>M32+15</f>
        <v>15</v>
      </c>
      <c r="Q32" s="10"/>
      <c r="R32" s="30" t="e">
        <f>((M32+P32)*(100-Q32))/(100-(100-Q32))+M32</f>
        <v>#DIV/0!</v>
      </c>
      <c r="S32" s="28"/>
      <c r="T32" s="27" t="e">
        <f>K32+L32+R32+(B32*S32)</f>
        <v>#DIV/0!</v>
      </c>
      <c r="U32" s="26" t="e">
        <f>T32/B32</f>
        <v>#DIV/0!</v>
      </c>
      <c r="V32" s="26"/>
      <c r="W32" s="27">
        <f>B32*V32</f>
        <v>0</v>
      </c>
      <c r="X32" s="5" t="e">
        <f>B32-E32-T32-W32</f>
        <v>#DIV/0!</v>
      </c>
      <c r="Y32" s="6" t="e">
        <f>X32/B32</f>
        <v>#DIV/0!</v>
      </c>
      <c r="Z32" s="6"/>
    </row>
    <row r="33" spans="1:26" x14ac:dyDescent="0.25">
      <c r="A33" s="21"/>
      <c r="B33" s="22"/>
      <c r="C33" s="22"/>
      <c r="D33" s="22"/>
      <c r="E33" s="22"/>
      <c r="F33" s="12"/>
      <c r="G33" s="12"/>
      <c r="H33" s="12"/>
      <c r="I33" s="4">
        <f t="shared" si="1"/>
        <v>0</v>
      </c>
      <c r="J33" s="17"/>
      <c r="K33" s="18">
        <f t="shared" si="2"/>
        <v>0</v>
      </c>
      <c r="L33" s="18">
        <f t="shared" si="3"/>
        <v>0</v>
      </c>
      <c r="M33" s="18">
        <f t="shared" si="5"/>
        <v>0</v>
      </c>
      <c r="N33" s="23"/>
      <c r="O33" s="23"/>
      <c r="P33" s="18">
        <f>M33+15</f>
        <v>15</v>
      </c>
      <c r="Q33" s="10"/>
      <c r="R33" s="30" t="e">
        <f>((M33+P33)*(100-Q33))/(100-(100-Q33))+M33</f>
        <v>#DIV/0!</v>
      </c>
      <c r="S33" s="28"/>
      <c r="T33" s="27" t="e">
        <f>K33+L33+R33+(B33*S33)</f>
        <v>#DIV/0!</v>
      </c>
      <c r="U33" s="26" t="e">
        <f>T33/B33</f>
        <v>#DIV/0!</v>
      </c>
      <c r="V33" s="26"/>
      <c r="W33" s="27">
        <f>B33*V33</f>
        <v>0</v>
      </c>
      <c r="X33" s="5" t="e">
        <f>B33-E33-T33-W33</f>
        <v>#DIV/0!</v>
      </c>
      <c r="Y33" s="6" t="e">
        <f>X33/B33</f>
        <v>#DIV/0!</v>
      </c>
      <c r="Z33" s="6"/>
    </row>
    <row r="34" spans="1:26" x14ac:dyDescent="0.25">
      <c r="A34" s="21"/>
      <c r="B34" s="22"/>
      <c r="C34" s="22"/>
      <c r="D34" s="22"/>
      <c r="E34" s="22"/>
      <c r="F34" s="12"/>
      <c r="G34" s="12"/>
      <c r="H34" s="12"/>
      <c r="I34" s="4">
        <f t="shared" si="1"/>
        <v>0</v>
      </c>
      <c r="J34" s="17"/>
      <c r="K34" s="18">
        <f t="shared" si="2"/>
        <v>0</v>
      </c>
      <c r="L34" s="18">
        <f t="shared" si="3"/>
        <v>0</v>
      </c>
      <c r="M34" s="18">
        <f t="shared" si="5"/>
        <v>0</v>
      </c>
      <c r="N34" s="23"/>
      <c r="O34" s="23"/>
      <c r="P34" s="18">
        <f>M34+15</f>
        <v>15</v>
      </c>
      <c r="Q34" s="10"/>
      <c r="R34" s="30" t="e">
        <f>((M34+P34)*(100-Q34))/(100-(100-Q34))+M34</f>
        <v>#DIV/0!</v>
      </c>
      <c r="S34" s="28"/>
      <c r="T34" s="27" t="e">
        <f>K34+L34+R34+(B34*S34)</f>
        <v>#DIV/0!</v>
      </c>
      <c r="U34" s="26" t="e">
        <f>T34/B34</f>
        <v>#DIV/0!</v>
      </c>
      <c r="V34" s="26"/>
      <c r="W34" s="27">
        <f>B34*V34</f>
        <v>0</v>
      </c>
      <c r="X34" s="5" t="e">
        <f>B34-E34-T34-W34</f>
        <v>#DIV/0!</v>
      </c>
      <c r="Y34" s="6" t="e">
        <f>X34/B34</f>
        <v>#DIV/0!</v>
      </c>
      <c r="Z34" s="6"/>
    </row>
    <row r="35" spans="1:26" x14ac:dyDescent="0.25">
      <c r="A35" s="31"/>
      <c r="B35" s="35"/>
      <c r="C35" s="35"/>
      <c r="D35" s="35"/>
      <c r="E35" s="35"/>
      <c r="F35" s="36"/>
      <c r="G35" s="36"/>
      <c r="H35" s="36"/>
      <c r="I35" s="31"/>
      <c r="J35" s="37"/>
      <c r="K35" s="32"/>
      <c r="L35" s="32"/>
      <c r="M35" s="32"/>
      <c r="N35" s="32"/>
      <c r="O35" s="31"/>
      <c r="P35" s="32"/>
      <c r="Q35" s="31"/>
      <c r="R35" s="33"/>
      <c r="S35" s="34"/>
      <c r="T35" s="37"/>
      <c r="U35" s="33"/>
      <c r="V35" s="33"/>
      <c r="W35" s="34"/>
      <c r="X35" s="34"/>
      <c r="Y35" s="31"/>
      <c r="Z35" s="38"/>
    </row>
    <row r="36" spans="1:26" x14ac:dyDescent="0.25">
      <c r="A36" s="31"/>
      <c r="B36" s="35"/>
      <c r="C36" s="35"/>
      <c r="D36" s="35"/>
      <c r="E36" s="35"/>
      <c r="F36" s="36"/>
      <c r="G36" s="36"/>
      <c r="H36" s="36"/>
      <c r="I36" s="31"/>
      <c r="J36" s="37"/>
      <c r="K36" s="32"/>
      <c r="L36" s="32"/>
      <c r="M36" s="32"/>
      <c r="N36" s="32"/>
      <c r="O36" s="31"/>
      <c r="P36" s="32"/>
      <c r="Q36" s="31"/>
      <c r="R36" s="33"/>
      <c r="S36" s="34"/>
      <c r="T36" s="37"/>
      <c r="U36" s="33"/>
      <c r="V36" s="33"/>
      <c r="W36" s="34"/>
      <c r="X36" s="34"/>
      <c r="Y36" s="31"/>
      <c r="Z36" s="38"/>
    </row>
    <row r="37" spans="1:26" x14ac:dyDescent="0.25">
      <c r="A37" s="31"/>
      <c r="B37" s="35"/>
      <c r="C37" s="35"/>
      <c r="D37" s="35"/>
      <c r="E37" s="35"/>
      <c r="F37" s="36"/>
      <c r="G37" s="36"/>
      <c r="H37" s="36"/>
      <c r="I37" s="31"/>
      <c r="J37" s="37"/>
      <c r="K37" s="32"/>
      <c r="L37" s="32"/>
      <c r="M37" s="32"/>
      <c r="N37" s="32"/>
      <c r="O37" s="31"/>
      <c r="P37" s="32"/>
      <c r="Q37" s="31"/>
      <c r="R37" s="33"/>
      <c r="S37" s="34"/>
      <c r="T37" s="37"/>
      <c r="U37" s="33"/>
      <c r="V37" s="33"/>
      <c r="W37" s="34"/>
      <c r="X37" s="34"/>
      <c r="Y37" s="31"/>
      <c r="Z37" s="38"/>
    </row>
    <row r="38" spans="1:26" x14ac:dyDescent="0.25">
      <c r="A38" s="31"/>
      <c r="B38" s="35"/>
      <c r="C38" s="35"/>
      <c r="D38" s="35"/>
      <c r="E38" s="35"/>
      <c r="F38" s="36"/>
      <c r="G38" s="36"/>
      <c r="H38" s="36"/>
      <c r="I38" s="31"/>
      <c r="J38" s="37"/>
      <c r="K38" s="32"/>
      <c r="L38" s="32"/>
      <c r="M38" s="32"/>
      <c r="N38" s="32"/>
      <c r="O38" s="31"/>
      <c r="P38" s="32"/>
      <c r="Q38" s="31"/>
      <c r="R38" s="33"/>
      <c r="S38" s="34"/>
      <c r="T38" s="37"/>
      <c r="U38" s="33"/>
      <c r="V38" s="33"/>
      <c r="W38" s="34"/>
      <c r="X38" s="34"/>
      <c r="Y38" s="31"/>
      <c r="Z38" s="38"/>
    </row>
    <row r="39" spans="1:26" x14ac:dyDescent="0.25">
      <c r="A39" s="31"/>
      <c r="B39" s="35"/>
      <c r="C39" s="35"/>
      <c r="D39" s="35"/>
      <c r="E39" s="35"/>
      <c r="F39" s="36"/>
      <c r="G39" s="36"/>
      <c r="H39" s="36"/>
      <c r="I39" s="31"/>
      <c r="J39" s="37"/>
      <c r="K39" s="32"/>
      <c r="L39" s="32"/>
      <c r="M39" s="32"/>
      <c r="N39" s="32"/>
      <c r="O39" s="31"/>
      <c r="P39" s="32"/>
      <c r="Q39" s="31"/>
      <c r="R39" s="33"/>
      <c r="S39" s="34"/>
      <c r="T39" s="37"/>
      <c r="U39" s="33"/>
      <c r="V39" s="33"/>
      <c r="W39" s="34"/>
      <c r="X39" s="34"/>
      <c r="Y39" s="31"/>
      <c r="Z39" s="38"/>
    </row>
    <row r="40" spans="1:26" x14ac:dyDescent="0.25">
      <c r="A40" s="31"/>
      <c r="B40" s="35"/>
      <c r="C40" s="35"/>
      <c r="D40" s="35"/>
      <c r="E40" s="35"/>
      <c r="F40" s="36"/>
      <c r="G40" s="36"/>
      <c r="H40" s="36"/>
      <c r="I40" s="31"/>
      <c r="J40" s="37"/>
      <c r="K40" s="32"/>
      <c r="L40" s="32"/>
      <c r="M40" s="32"/>
      <c r="N40" s="32"/>
      <c r="O40" s="31"/>
      <c r="P40" s="32"/>
      <c r="Q40" s="31"/>
      <c r="R40" s="33"/>
      <c r="S40" s="34"/>
      <c r="T40" s="37"/>
      <c r="U40" s="33"/>
      <c r="V40" s="33"/>
      <c r="W40" s="34"/>
      <c r="X40" s="34"/>
      <c r="Y40" s="31"/>
      <c r="Z40" s="38"/>
    </row>
    <row r="41" spans="1:26" x14ac:dyDescent="0.25">
      <c r="A41" s="31"/>
      <c r="B41" s="35"/>
      <c r="C41" s="35"/>
      <c r="D41" s="35"/>
      <c r="E41" s="35"/>
      <c r="F41" s="36"/>
      <c r="G41" s="36"/>
      <c r="H41" s="36"/>
      <c r="I41" s="31"/>
      <c r="J41" s="37"/>
      <c r="K41" s="32"/>
      <c r="L41" s="32"/>
      <c r="M41" s="32"/>
      <c r="N41" s="32"/>
      <c r="O41" s="31"/>
      <c r="P41" s="32"/>
      <c r="Q41" s="31"/>
      <c r="R41" s="33"/>
      <c r="S41" s="34"/>
      <c r="T41" s="37"/>
      <c r="U41" s="33"/>
      <c r="V41" s="33"/>
      <c r="W41" s="34"/>
      <c r="X41" s="34"/>
      <c r="Y41" s="31"/>
      <c r="Z41" s="38"/>
    </row>
    <row r="42" spans="1:26" x14ac:dyDescent="0.25">
      <c r="A42" s="31"/>
      <c r="B42" s="35"/>
      <c r="C42" s="35"/>
      <c r="D42" s="35"/>
      <c r="E42" s="35"/>
      <c r="F42" s="36"/>
      <c r="G42" s="36"/>
      <c r="H42" s="36"/>
      <c r="I42" s="31"/>
      <c r="J42" s="37"/>
      <c r="K42" s="32"/>
      <c r="L42" s="32"/>
      <c r="M42" s="32"/>
      <c r="N42" s="32"/>
      <c r="O42" s="31"/>
      <c r="P42" s="32"/>
      <c r="Q42" s="31"/>
      <c r="R42" s="33"/>
      <c r="S42" s="34"/>
      <c r="T42" s="37"/>
      <c r="U42" s="33"/>
      <c r="V42" s="33"/>
      <c r="W42" s="34"/>
      <c r="X42" s="34"/>
      <c r="Y42" s="31"/>
      <c r="Z42" s="38"/>
    </row>
    <row r="43" spans="1:26" x14ac:dyDescent="0.25">
      <c r="A43" s="31"/>
      <c r="B43" s="35"/>
      <c r="C43" s="35"/>
      <c r="D43" s="35"/>
      <c r="E43" s="35"/>
      <c r="F43" s="36"/>
      <c r="G43" s="36"/>
      <c r="H43" s="36"/>
      <c r="I43" s="31"/>
      <c r="J43" s="37"/>
      <c r="K43" s="32"/>
      <c r="L43" s="32"/>
      <c r="M43" s="32"/>
      <c r="N43" s="32"/>
      <c r="O43" s="31"/>
      <c r="P43" s="32"/>
      <c r="Q43" s="31"/>
      <c r="R43" s="33"/>
      <c r="S43" s="34"/>
      <c r="T43" s="37"/>
      <c r="U43" s="33"/>
      <c r="V43" s="33"/>
      <c r="W43" s="34"/>
      <c r="X43" s="34"/>
      <c r="Y43" s="31"/>
      <c r="Z43" s="38"/>
    </row>
    <row r="44" spans="1:26" x14ac:dyDescent="0.25">
      <c r="A44" s="31"/>
      <c r="B44" s="35"/>
      <c r="C44" s="35"/>
      <c r="D44" s="35"/>
      <c r="E44" s="35"/>
      <c r="F44" s="36"/>
      <c r="G44" s="36"/>
      <c r="H44" s="36"/>
      <c r="I44" s="31"/>
      <c r="J44" s="37"/>
      <c r="K44" s="32"/>
      <c r="L44" s="32"/>
      <c r="M44" s="32"/>
      <c r="N44" s="32"/>
      <c r="O44" s="31"/>
      <c r="P44" s="32"/>
      <c r="Q44" s="31"/>
      <c r="R44" s="33"/>
      <c r="S44" s="34"/>
      <c r="T44" s="37"/>
      <c r="U44" s="33"/>
      <c r="V44" s="33"/>
      <c r="W44" s="34"/>
      <c r="X44" s="34"/>
      <c r="Y44" s="31"/>
      <c r="Z44" s="38"/>
    </row>
    <row r="45" spans="1:26" x14ac:dyDescent="0.25">
      <c r="A45" s="31"/>
      <c r="B45" s="35"/>
      <c r="C45" s="35"/>
      <c r="D45" s="35"/>
      <c r="E45" s="35"/>
      <c r="F45" s="36"/>
      <c r="G45" s="36"/>
      <c r="H45" s="36"/>
      <c r="I45" s="31"/>
      <c r="J45" s="37"/>
      <c r="K45" s="32"/>
      <c r="L45" s="32"/>
      <c r="M45" s="32"/>
      <c r="N45" s="32"/>
      <c r="O45" s="31"/>
      <c r="P45" s="32"/>
      <c r="Q45" s="31"/>
      <c r="R45" s="33"/>
      <c r="S45" s="34"/>
      <c r="T45" s="37"/>
      <c r="U45" s="33"/>
      <c r="V45" s="33"/>
      <c r="W45" s="34"/>
      <c r="X45" s="34"/>
      <c r="Y45" s="31"/>
      <c r="Z45" s="38"/>
    </row>
    <row r="46" spans="1:26" x14ac:dyDescent="0.25">
      <c r="A46" s="31"/>
      <c r="B46" s="35"/>
      <c r="C46" s="35"/>
      <c r="D46" s="35"/>
      <c r="E46" s="35"/>
      <c r="F46" s="36"/>
      <c r="G46" s="36"/>
      <c r="H46" s="36"/>
      <c r="I46" s="31"/>
      <c r="J46" s="37"/>
      <c r="K46" s="32"/>
      <c r="L46" s="32"/>
      <c r="M46" s="32"/>
      <c r="N46" s="32"/>
      <c r="O46" s="31"/>
      <c r="P46" s="32"/>
      <c r="Q46" s="31"/>
      <c r="R46" s="33"/>
      <c r="S46" s="34"/>
      <c r="T46" s="37"/>
      <c r="U46" s="33"/>
      <c r="V46" s="33"/>
      <c r="W46" s="34"/>
      <c r="X46" s="34"/>
      <c r="Y46" s="31"/>
      <c r="Z46" s="3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ИЛ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Paul</cp:lastModifiedBy>
  <dcterms:created xsi:type="dcterms:W3CDTF">2024-10-07T20:20:31Z</dcterms:created>
  <dcterms:modified xsi:type="dcterms:W3CDTF">2025-12-08T09:20:14Z</dcterms:modified>
</cp:coreProperties>
</file>