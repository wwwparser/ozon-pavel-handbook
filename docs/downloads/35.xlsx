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aul\Documents\"/>
    </mc:Choice>
  </mc:AlternateContent>
  <xr:revisionPtr revIDLastSave="0" documentId="13_ncr:1_{7088D856-B6C1-42C1-8774-E2E83DF75F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вводные" sheetId="2" r:id="rId2"/>
  </sheets>
  <definedNames>
    <definedName name="ИЛ">вводные!$A$2:$A$12</definedName>
    <definedName name="Индекс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2" i="1" l="1"/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2" i="1"/>
  <c r="L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2" i="1"/>
  <c r="H58" i="2"/>
  <c r="H59" i="2"/>
  <c r="H60" i="2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36" i="2"/>
  <c r="H37" i="2"/>
  <c r="H38" i="2"/>
  <c r="H39" i="2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30" i="2"/>
  <c r="H31" i="2" s="1"/>
  <c r="H32" i="2" s="1"/>
  <c r="H33" i="2" s="1"/>
  <c r="H34" i="2" s="1"/>
  <c r="H35" i="2" s="1"/>
  <c r="H28" i="2"/>
  <c r="H29" i="2" s="1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6" i="2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9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P25" i="1" l="1"/>
  <c r="P20" i="1"/>
  <c r="E8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P17" i="1"/>
  <c r="P18" i="1"/>
  <c r="P19" i="1"/>
  <c r="P22" i="1"/>
  <c r="P23" i="1"/>
  <c r="P24" i="1"/>
  <c r="P26" i="1"/>
  <c r="P27" i="1"/>
  <c r="P28" i="1"/>
  <c r="P29" i="1"/>
  <c r="P8" i="1"/>
  <c r="P10" i="1"/>
  <c r="P11" i="1"/>
  <c r="P12" i="1"/>
  <c r="P13" i="1"/>
  <c r="P14" i="1"/>
  <c r="P15" i="1"/>
  <c r="P16" i="1"/>
  <c r="Z2" i="1"/>
  <c r="P9" i="1" l="1"/>
  <c r="Q9" i="1" s="1"/>
  <c r="U9" i="1" s="1"/>
  <c r="W9" i="1" s="1"/>
  <c r="P21" i="1"/>
  <c r="Q21" i="1" s="1"/>
  <c r="U21" i="1" s="1"/>
  <c r="W21" i="1" s="1"/>
  <c r="Q13" i="1"/>
  <c r="U13" i="1" s="1"/>
  <c r="W13" i="1" s="1"/>
  <c r="Q15" i="1"/>
  <c r="U15" i="1" s="1"/>
  <c r="W15" i="1" s="1"/>
  <c r="Q17" i="1"/>
  <c r="U17" i="1" s="1"/>
  <c r="W17" i="1" s="1"/>
  <c r="Q27" i="1"/>
  <c r="U27" i="1" s="1"/>
  <c r="W27" i="1" s="1"/>
  <c r="Q29" i="1"/>
  <c r="U29" i="1" s="1"/>
  <c r="W29" i="1" s="1"/>
  <c r="Q25" i="1"/>
  <c r="U25" i="1" s="1"/>
  <c r="W25" i="1" s="1"/>
  <c r="Q20" i="1"/>
  <c r="U20" i="1" s="1"/>
  <c r="W20" i="1" s="1"/>
  <c r="Q19" i="1"/>
  <c r="U19" i="1" s="1"/>
  <c r="W19" i="1" s="1"/>
  <c r="Q18" i="1"/>
  <c r="U18" i="1" s="1"/>
  <c r="W18" i="1" s="1"/>
  <c r="Q16" i="1"/>
  <c r="U16" i="1" s="1"/>
  <c r="W16" i="1" s="1"/>
  <c r="Q14" i="1"/>
  <c r="U14" i="1" s="1"/>
  <c r="W14" i="1" s="1"/>
  <c r="Q24" i="1"/>
  <c r="U24" i="1" s="1"/>
  <c r="W24" i="1" s="1"/>
  <c r="Q12" i="1"/>
  <c r="U12" i="1" s="1"/>
  <c r="W12" i="1" s="1"/>
  <c r="Q23" i="1"/>
  <c r="U23" i="1" s="1"/>
  <c r="W23" i="1" s="1"/>
  <c r="Q11" i="1"/>
  <c r="U11" i="1" s="1"/>
  <c r="W11" i="1" s="1"/>
  <c r="Q22" i="1"/>
  <c r="U22" i="1" s="1"/>
  <c r="W22" i="1" s="1"/>
  <c r="Q10" i="1"/>
  <c r="U10" i="1" s="1"/>
  <c r="W10" i="1" s="1"/>
  <c r="Q8" i="1"/>
  <c r="U8" i="1" s="1"/>
  <c r="W8" i="1" s="1"/>
  <c r="AA29" i="1" l="1"/>
  <c r="AA25" i="1"/>
  <c r="AA14" i="1"/>
  <c r="AB14" i="1" s="1"/>
  <c r="X23" i="1"/>
  <c r="AA11" i="1"/>
  <c r="AA10" i="1"/>
  <c r="AB10" i="1" s="1"/>
  <c r="X20" i="1"/>
  <c r="AA20" i="1"/>
  <c r="AB20" i="1" s="1"/>
  <c r="Q26" i="1"/>
  <c r="U26" i="1" s="1"/>
  <c r="W26" i="1" s="1"/>
  <c r="Q28" i="1"/>
  <c r="U28" i="1" s="1"/>
  <c r="W28" i="1" s="1"/>
  <c r="X29" i="1"/>
  <c r="AA22" i="1"/>
  <c r="X22" i="1"/>
  <c r="AA12" i="1"/>
  <c r="X12" i="1"/>
  <c r="X16" i="1"/>
  <c r="AA16" i="1"/>
  <c r="AA21" i="1"/>
  <c r="X21" i="1"/>
  <c r="AA18" i="1"/>
  <c r="X18" i="1"/>
  <c r="AA24" i="1"/>
  <c r="AB24" i="1" s="1"/>
  <c r="X24" i="1"/>
  <c r="AB25" i="1"/>
  <c r="X8" i="1"/>
  <c r="AA8" i="1"/>
  <c r="AA27" i="1"/>
  <c r="AB27" i="1" s="1"/>
  <c r="X27" i="1"/>
  <c r="X15" i="1"/>
  <c r="AA15" i="1"/>
  <c r="X19" i="1"/>
  <c r="AA19" i="1"/>
  <c r="AA9" i="1"/>
  <c r="X9" i="1"/>
  <c r="AA13" i="1"/>
  <c r="X13" i="1"/>
  <c r="AA17" i="1"/>
  <c r="X17" i="1"/>
  <c r="X14" i="1" l="1"/>
  <c r="X25" i="1"/>
  <c r="X11" i="1"/>
  <c r="AA23" i="1"/>
  <c r="AB23" i="1" s="1"/>
  <c r="X10" i="1"/>
  <c r="AA28" i="1"/>
  <c r="AB28" i="1" s="1"/>
  <c r="X28" i="1"/>
  <c r="AA26" i="1"/>
  <c r="AB26" i="1" s="1"/>
  <c r="X26" i="1"/>
  <c r="AB21" i="1"/>
  <c r="AB16" i="1"/>
  <c r="AB12" i="1"/>
  <c r="AB18" i="1"/>
  <c r="AB8" i="1"/>
  <c r="AB22" i="1"/>
  <c r="AB29" i="1"/>
  <c r="AB17" i="1"/>
  <c r="AB13" i="1"/>
  <c r="AB9" i="1"/>
  <c r="AB19" i="1"/>
  <c r="AB15" i="1"/>
  <c r="AB11" i="1"/>
  <c r="E3" i="1" l="1"/>
  <c r="I3" i="1"/>
  <c r="K3" i="1"/>
  <c r="P3" i="1"/>
  <c r="Z3" i="1"/>
  <c r="E4" i="1"/>
  <c r="I4" i="1"/>
  <c r="K4" i="1"/>
  <c r="P4" i="1"/>
  <c r="Z4" i="1"/>
  <c r="E5" i="1"/>
  <c r="I5" i="1"/>
  <c r="K5" i="1"/>
  <c r="P5" i="1"/>
  <c r="Z5" i="1"/>
  <c r="E6" i="1"/>
  <c r="I6" i="1"/>
  <c r="K6" i="1"/>
  <c r="P6" i="1"/>
  <c r="Z6" i="1"/>
  <c r="E7" i="1"/>
  <c r="I7" i="1"/>
  <c r="K7" i="1"/>
  <c r="P7" i="1"/>
  <c r="Z7" i="1"/>
  <c r="E2" i="1"/>
  <c r="P2" i="1"/>
  <c r="K2" i="1"/>
  <c r="I2" i="1"/>
  <c r="Q2" i="1" l="1"/>
  <c r="U2" i="1" s="1"/>
  <c r="W2" i="1" s="1"/>
  <c r="Q5" i="1"/>
  <c r="U5" i="1" s="1"/>
  <c r="W5" i="1" s="1"/>
  <c r="Q4" i="1"/>
  <c r="U4" i="1" s="1"/>
  <c r="W4" i="1" s="1"/>
  <c r="Q3" i="1"/>
  <c r="U3" i="1" s="1"/>
  <c r="W3" i="1" s="1"/>
  <c r="Q7" i="1"/>
  <c r="U7" i="1" s="1"/>
  <c r="W7" i="1" s="1"/>
  <c r="AA7" i="1" l="1"/>
  <c r="Q6" i="1"/>
  <c r="U6" i="1" s="1"/>
  <c r="W6" i="1" s="1"/>
  <c r="X2" i="1"/>
  <c r="X7" i="1" l="1"/>
  <c r="AA5" i="1"/>
  <c r="X5" i="1"/>
  <c r="AA4" i="1"/>
  <c r="X4" i="1"/>
  <c r="X3" i="1"/>
  <c r="AA3" i="1"/>
  <c r="AA2" i="1"/>
  <c r="AB7" i="1"/>
  <c r="AB5" i="1"/>
  <c r="AB3" i="1" l="1"/>
  <c r="AB4" i="1"/>
  <c r="X6" i="1"/>
  <c r="AA6" i="1"/>
  <c r="AB2" i="1"/>
  <c r="AB6" i="1" l="1"/>
</calcChain>
</file>

<file path=xl/sharedStrings.xml><?xml version="1.0" encoding="utf-8"?>
<sst xmlns="http://schemas.openxmlformats.org/spreadsheetml/2006/main" count="193" uniqueCount="165">
  <si>
    <t>Наименование</t>
  </si>
  <si>
    <t>Цена в ЛК</t>
  </si>
  <si>
    <t>Себестоимость</t>
  </si>
  <si>
    <t>Доп. Расходы</t>
  </si>
  <si>
    <t>Цена до склада</t>
  </si>
  <si>
    <t>Эквайринг</t>
  </si>
  <si>
    <t>Комиссия (%)</t>
  </si>
  <si>
    <t>Комиссия (руб)</t>
  </si>
  <si>
    <t>% выкупа</t>
  </si>
  <si>
    <t>Обратная логистика</t>
  </si>
  <si>
    <t>Итоговая логистика</t>
  </si>
  <si>
    <t>кэф</t>
  </si>
  <si>
    <t>ДРР</t>
  </si>
  <si>
    <t>Длина (см)</t>
  </si>
  <si>
    <t>Ширина (см)</t>
  </si>
  <si>
    <t>Высота (см)</t>
  </si>
  <si>
    <t>Объем товара (л)</t>
  </si>
  <si>
    <t>Всего удержаний OZON</t>
  </si>
  <si>
    <t>% Удержаний</t>
  </si>
  <si>
    <t>Налог (%)</t>
  </si>
  <si>
    <t>Налог (руб)</t>
  </si>
  <si>
    <t>Прибыль на 1 ед.</t>
  </si>
  <si>
    <t>Рентабельность</t>
  </si>
  <si>
    <t>Среднее время доставки, часы</t>
  </si>
  <si>
    <t>Коэффициент к базовому тарифу логистики</t>
  </si>
  <si>
    <t>СВД</t>
  </si>
  <si>
    <t>Процент от цены товара</t>
  </si>
  <si>
    <t>Доставка до места</t>
  </si>
  <si>
    <t>Объём товара</t>
  </si>
  <si>
    <t>Тариф с НДС</t>
  </si>
  <si>
    <t>тариф доставки</t>
  </si>
  <si>
    <t>итог. Логистика</t>
  </si>
  <si>
    <t>объем товара</t>
  </si>
  <si>
    <t>до 1 л</t>
  </si>
  <si>
    <t>2 л</t>
  </si>
  <si>
    <t>3 л</t>
  </si>
  <si>
    <t>4 л</t>
  </si>
  <si>
    <t>5 л</t>
  </si>
  <si>
    <t>6 л</t>
  </si>
  <si>
    <t>7 л</t>
  </si>
  <si>
    <t>8 л</t>
  </si>
  <si>
    <t>9 л</t>
  </si>
  <si>
    <t>10 л</t>
  </si>
  <si>
    <t>11 л</t>
  </si>
  <si>
    <t>12 л</t>
  </si>
  <si>
    <t>13 л</t>
  </si>
  <si>
    <t>14 л</t>
  </si>
  <si>
    <t>15 л</t>
  </si>
  <si>
    <t>16 л</t>
  </si>
  <si>
    <t>17 л</t>
  </si>
  <si>
    <t>18 л</t>
  </si>
  <si>
    <t>19 л</t>
  </si>
  <si>
    <t>20 л</t>
  </si>
  <si>
    <t>21 л</t>
  </si>
  <si>
    <t>22 л</t>
  </si>
  <si>
    <t>23 л</t>
  </si>
  <si>
    <t>24 л</t>
  </si>
  <si>
    <t>25 л</t>
  </si>
  <si>
    <t>26 л</t>
  </si>
  <si>
    <t>27 л</t>
  </si>
  <si>
    <t>28 л</t>
  </si>
  <si>
    <t>29 л</t>
  </si>
  <si>
    <t>30 л</t>
  </si>
  <si>
    <t>31 л</t>
  </si>
  <si>
    <t>32 л</t>
  </si>
  <si>
    <t>33 л</t>
  </si>
  <si>
    <t>34 л</t>
  </si>
  <si>
    <t>35 л</t>
  </si>
  <si>
    <t>36 л</t>
  </si>
  <si>
    <t>37 л</t>
  </si>
  <si>
    <t>38 л</t>
  </si>
  <si>
    <t>39 л</t>
  </si>
  <si>
    <t>40 л</t>
  </si>
  <si>
    <t>41 л</t>
  </si>
  <si>
    <t>42 л</t>
  </si>
  <si>
    <t>43 л</t>
  </si>
  <si>
    <t>44 л</t>
  </si>
  <si>
    <t>45 л</t>
  </si>
  <si>
    <t>46 л</t>
  </si>
  <si>
    <t>47 л</t>
  </si>
  <si>
    <t>48 л</t>
  </si>
  <si>
    <t>49 л</t>
  </si>
  <si>
    <t>50 л</t>
  </si>
  <si>
    <t>51 л</t>
  </si>
  <si>
    <t>52 л</t>
  </si>
  <si>
    <t>53 л</t>
  </si>
  <si>
    <t>54 л</t>
  </si>
  <si>
    <t>55 л</t>
  </si>
  <si>
    <t>56 л</t>
  </si>
  <si>
    <t>57 л</t>
  </si>
  <si>
    <t>58 л</t>
  </si>
  <si>
    <t>59 л</t>
  </si>
  <si>
    <t>60 л</t>
  </si>
  <si>
    <t>61 л</t>
  </si>
  <si>
    <t>62 л</t>
  </si>
  <si>
    <t>63 л</t>
  </si>
  <si>
    <t>64 л</t>
  </si>
  <si>
    <t>65 л</t>
  </si>
  <si>
    <t>66 л</t>
  </si>
  <si>
    <t>67 л</t>
  </si>
  <si>
    <t>68 л</t>
  </si>
  <si>
    <t>69 л</t>
  </si>
  <si>
    <t>70 л</t>
  </si>
  <si>
    <t>71 л</t>
  </si>
  <si>
    <t>72 л</t>
  </si>
  <si>
    <t>73 л</t>
  </si>
  <si>
    <t>74 л</t>
  </si>
  <si>
    <t>75 л</t>
  </si>
  <si>
    <t>76 л</t>
  </si>
  <si>
    <t>77 л</t>
  </si>
  <si>
    <t>78 л</t>
  </si>
  <si>
    <t>79 л</t>
  </si>
  <si>
    <t>80 л</t>
  </si>
  <si>
    <t>81 л</t>
  </si>
  <si>
    <t>82 л</t>
  </si>
  <si>
    <t>83 л</t>
  </si>
  <si>
    <t>84 л</t>
  </si>
  <si>
    <t>85 л</t>
  </si>
  <si>
    <t>86 л</t>
  </si>
  <si>
    <t>87 л</t>
  </si>
  <si>
    <t>88 л</t>
  </si>
  <si>
    <t>89 л</t>
  </si>
  <si>
    <t>90 л</t>
  </si>
  <si>
    <t>91 л</t>
  </si>
  <si>
    <t>92 л</t>
  </si>
  <si>
    <t>93 л</t>
  </si>
  <si>
    <t>94 л</t>
  </si>
  <si>
    <t>95 л</t>
  </si>
  <si>
    <t>96 л</t>
  </si>
  <si>
    <t>97 л</t>
  </si>
  <si>
    <t>98 л</t>
  </si>
  <si>
    <t>99 л</t>
  </si>
  <si>
    <t>100 л</t>
  </si>
  <si>
    <t>101 л</t>
  </si>
  <si>
    <t>102 л</t>
  </si>
  <si>
    <t>103 л</t>
  </si>
  <si>
    <t>104 л</t>
  </si>
  <si>
    <t>105 л</t>
  </si>
  <si>
    <t>106 л</t>
  </si>
  <si>
    <t>107 л</t>
  </si>
  <si>
    <t>108 л</t>
  </si>
  <si>
    <t>109 л</t>
  </si>
  <si>
    <t>110 л</t>
  </si>
  <si>
    <t>111 л</t>
  </si>
  <si>
    <t>112 л</t>
  </si>
  <si>
    <t>113 л</t>
  </si>
  <si>
    <t>114 л</t>
  </si>
  <si>
    <t>115 л</t>
  </si>
  <si>
    <t>116 л</t>
  </si>
  <si>
    <t>117 л</t>
  </si>
  <si>
    <t>118 л</t>
  </si>
  <si>
    <t>119 л</t>
  </si>
  <si>
    <t>120 л</t>
  </si>
  <si>
    <t>от 301 руб</t>
  </si>
  <si>
    <t>товар 2</t>
  </si>
  <si>
    <t>товар 3</t>
  </si>
  <si>
    <t>товар  4</t>
  </si>
  <si>
    <t>товар  5</t>
  </si>
  <si>
    <t>товар  6</t>
  </si>
  <si>
    <t>товар  7</t>
  </si>
  <si>
    <t>товар  8</t>
  </si>
  <si>
    <t>товар  9</t>
  </si>
  <si>
    <t>товар  10</t>
  </si>
  <si>
    <t>ROI</t>
  </si>
  <si>
    <t>бутылка для воды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</si>
</sst>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44" formatCode="_-* #,##0.00\ &quot;₽&quot;_-;\-* #,##0.00\ &quot;₽&quot;_-;_-* &quot;-&quot;??\ &quot;₽&quot;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theme="1"/>
      <name val="Bahnschrift"/>
      <family val="2"/>
      <charset val="204"/>
    </font>
    <font>
      <sz val="9"/>
      <color theme="0"/>
      <name val="Bahnschrift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8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9" fontId="0" fillId="0" borderId="0" xfId="2" applyFont="1"/>
    <xf numFmtId="2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4" borderId="1" xfId="0" applyFill="1" applyBorder="1"/>
    <xf numFmtId="0" fontId="0" fillId="2" borderId="1" xfId="0" applyFill="1" applyBorder="1"/>
    <xf numFmtId="44" fontId="0" fillId="2" borderId="1" xfId="1" applyFont="1" applyFill="1" applyBorder="1"/>
    <xf numFmtId="0" fontId="2" fillId="6" borderId="1" xfId="0" applyFont="1" applyFill="1" applyBorder="1"/>
    <xf numFmtId="44" fontId="2" fillId="6" borderId="1" xfId="1" applyFont="1" applyFill="1" applyBorder="1"/>
    <xf numFmtId="9" fontId="2" fillId="6" borderId="1" xfId="2" applyFont="1" applyFill="1" applyBorder="1"/>
    <xf numFmtId="44" fontId="2" fillId="6" borderId="1" xfId="0" applyNumberFormat="1" applyFont="1" applyFill="1" applyBorder="1"/>
    <xf numFmtId="44" fontId="2" fillId="5" borderId="1" xfId="0" applyNumberFormat="1" applyFont="1" applyFill="1" applyBorder="1"/>
    <xf numFmtId="44" fontId="2" fillId="7" borderId="1" xfId="0" applyNumberFormat="1" applyFont="1" applyFill="1" applyBorder="1"/>
    <xf numFmtId="9" fontId="2" fillId="7" borderId="1" xfId="2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4" fillId="6" borderId="1" xfId="2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44" fontId="2" fillId="3" borderId="1" xfId="1" applyFont="1" applyFill="1" applyBorder="1"/>
    <xf numFmtId="44" fontId="3" fillId="2" borderId="1" xfId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0" fillId="4" borderId="1" xfId="0" applyNumberFormat="1" applyFill="1" applyBorder="1"/>
    <xf numFmtId="9" fontId="4" fillId="5" borderId="1" xfId="2" applyFont="1" applyFill="1" applyBorder="1" applyAlignment="1">
      <alignment horizontal="center" vertical="center"/>
    </xf>
    <xf numFmtId="9" fontId="2" fillId="5" borderId="1" xfId="2" applyFont="1" applyFill="1" applyBorder="1"/>
    <xf numFmtId="0" fontId="5" fillId="9" borderId="3" xfId="0" applyFont="1" applyFill="1" applyBorder="1" applyAlignment="1">
      <alignment horizontal="left" vertical="center" wrapText="1"/>
    </xf>
    <xf numFmtId="10" fontId="5" fillId="9" borderId="3" xfId="0" applyNumberFormat="1" applyFont="1" applyFill="1" applyBorder="1" applyAlignment="1">
      <alignment horizontal="left" vertical="center" wrapText="1"/>
    </xf>
    <xf numFmtId="0" fontId="6" fillId="10" borderId="1" xfId="0" applyFont="1" applyFill="1" applyBorder="1"/>
    <xf numFmtId="0" fontId="6" fillId="12" borderId="1" xfId="0" applyFont="1" applyFill="1" applyBorder="1"/>
    <xf numFmtId="0" fontId="7" fillId="9" borderId="3" xfId="0" applyFont="1" applyFill="1" applyBorder="1" applyAlignment="1">
      <alignment horizontal="left" vertical="center" wrapText="1"/>
    </xf>
    <xf numFmtId="8" fontId="5" fillId="9" borderId="3" xfId="0" applyNumberFormat="1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4" fontId="4" fillId="14" borderId="1" xfId="1" applyFont="1" applyFill="1" applyBorder="1" applyAlignment="1">
      <alignment horizontal="center" vertical="center"/>
    </xf>
    <xf numFmtId="44" fontId="2" fillId="14" borderId="1" xfId="1" applyFont="1" applyFill="1" applyBorder="1"/>
    <xf numFmtId="0" fontId="4" fillId="14" borderId="1" xfId="0" applyFont="1" applyFill="1" applyBorder="1" applyAlignment="1">
      <alignment horizontal="center" vertical="center"/>
    </xf>
    <xf numFmtId="44" fontId="2" fillId="14" borderId="1" xfId="0" applyNumberFormat="1" applyFont="1" applyFill="1" applyBorder="1"/>
    <xf numFmtId="0" fontId="4" fillId="7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0" fillId="11" borderId="1" xfId="0" applyFill="1" applyBorder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"/>
  <sheetViews>
    <sheetView tabSelected="1" workbookViewId="0">
      <pane xSplit="5" topLeftCell="R1" activePane="topRight" state="frozen"/>
      <selection pane="topRight" activeCell="AC3" sqref="AC3"/>
    </sheetView>
  </sheetViews>
  <sheetFormatPr defaultRowHeight="15" x14ac:dyDescent="0.25"/>
  <cols>
    <col min="1" max="1" width="34.28515625" bestFit="1" customWidth="1"/>
    <col min="2" max="2" width="10.85546875" style="3" bestFit="1" customWidth="1"/>
    <col min="3" max="3" width="15.140625" style="3" bestFit="1" customWidth="1"/>
    <col min="4" max="4" width="13.7109375" style="3" bestFit="1" customWidth="1"/>
    <col min="5" max="5" width="15.28515625" style="3" bestFit="1" customWidth="1"/>
    <col min="6" max="6" width="11" style="2" bestFit="1" customWidth="1"/>
    <col min="7" max="7" width="12.5703125" style="2" bestFit="1" customWidth="1"/>
    <col min="8" max="8" width="11.5703125" style="2" bestFit="1" customWidth="1"/>
    <col min="9" max="9" width="17" bestFit="1" customWidth="1"/>
    <col min="10" max="10" width="13.28515625" style="1" bestFit="1" customWidth="1"/>
    <col min="11" max="11" width="15" bestFit="1" customWidth="1"/>
    <col min="12" max="12" width="10.42578125" bestFit="1" customWidth="1"/>
    <col min="13" max="13" width="20.85546875" bestFit="1" customWidth="1"/>
    <col min="14" max="14" width="14.85546875" bestFit="1" customWidth="1"/>
    <col min="15" max="15" width="19.42578125" bestFit="1" customWidth="1"/>
    <col min="16" max="16" width="20.28515625" bestFit="1" customWidth="1"/>
    <col min="17" max="17" width="17.42578125" bestFit="1" customWidth="1"/>
    <col min="19" max="19" width="19" bestFit="1" customWidth="1"/>
    <col min="21" max="21" width="17" bestFit="1" customWidth="1"/>
    <col min="22" max="22" width="13.5703125" bestFit="1" customWidth="1"/>
    <col min="23" max="23" width="20.140625" style="1" bestFit="1" customWidth="1"/>
    <col min="24" max="24" width="12" bestFit="1" customWidth="1"/>
    <col min="25" max="25" width="16.7109375" bestFit="1" customWidth="1"/>
    <col min="26" max="26" width="16.85546875" bestFit="1" customWidth="1"/>
    <col min="27" max="27" width="14.42578125" bestFit="1" customWidth="1"/>
    <col min="28" max="28" width="15.28515625" customWidth="1"/>
    <col min="29" max="29" width="14.42578125" bestFit="1" customWidth="1"/>
  </cols>
  <sheetData>
    <row r="1" spans="1:29" ht="27.75" customHeight="1" x14ac:dyDescent="0.25">
      <c r="A1" s="15" t="s">
        <v>0</v>
      </c>
      <c r="B1" s="24" t="s">
        <v>1</v>
      </c>
      <c r="C1" s="24" t="s">
        <v>2</v>
      </c>
      <c r="D1" s="24" t="s">
        <v>3</v>
      </c>
      <c r="E1" s="37" t="s">
        <v>4</v>
      </c>
      <c r="F1" s="25" t="s">
        <v>13</v>
      </c>
      <c r="G1" s="25" t="s">
        <v>14</v>
      </c>
      <c r="H1" s="25" t="s">
        <v>15</v>
      </c>
      <c r="I1" s="16" t="s">
        <v>16</v>
      </c>
      <c r="J1" s="17" t="s">
        <v>6</v>
      </c>
      <c r="K1" s="39" t="s">
        <v>7</v>
      </c>
      <c r="L1" s="18" t="s">
        <v>5</v>
      </c>
      <c r="M1" s="18" t="s">
        <v>27</v>
      </c>
      <c r="N1" s="36" t="s">
        <v>32</v>
      </c>
      <c r="O1" s="35" t="s">
        <v>30</v>
      </c>
      <c r="P1" s="39" t="s">
        <v>31</v>
      </c>
      <c r="Q1" s="18" t="s">
        <v>9</v>
      </c>
      <c r="R1" s="20" t="s">
        <v>25</v>
      </c>
      <c r="S1" s="18" t="s">
        <v>11</v>
      </c>
      <c r="T1" s="20" t="s">
        <v>8</v>
      </c>
      <c r="U1" s="22" t="s">
        <v>10</v>
      </c>
      <c r="V1" s="18" t="s">
        <v>12</v>
      </c>
      <c r="W1" s="39" t="s">
        <v>17</v>
      </c>
      <c r="X1" s="18" t="s">
        <v>18</v>
      </c>
      <c r="Y1" s="27" t="s">
        <v>19</v>
      </c>
      <c r="Z1" s="39" t="s">
        <v>20</v>
      </c>
      <c r="AA1" s="19" t="s">
        <v>21</v>
      </c>
      <c r="AB1" s="41" t="s">
        <v>22</v>
      </c>
      <c r="AC1" s="19" t="s">
        <v>163</v>
      </c>
    </row>
    <row r="2" spans="1:29" x14ac:dyDescent="0.25">
      <c r="A2" s="31" t="s">
        <v>164</v>
      </c>
      <c r="B2" s="42">
        <v>650</v>
      </c>
      <c r="C2" s="43">
        <v>115</v>
      </c>
      <c r="D2" s="7">
        <v>20</v>
      </c>
      <c r="E2" s="38">
        <f t="shared" ref="E2:E9" si="0">C2+D2</f>
        <v>135</v>
      </c>
      <c r="F2" s="26">
        <v>20</v>
      </c>
      <c r="G2" s="26">
        <v>6</v>
      </c>
      <c r="H2" s="26">
        <v>5</v>
      </c>
      <c r="I2" s="5">
        <f>(F2*G2*H2)/1000</f>
        <v>0.6</v>
      </c>
      <c r="J2" s="10">
        <v>0.33</v>
      </c>
      <c r="K2" s="38">
        <f t="shared" ref="K2:K29" si="1">B2*J2</f>
        <v>214.5</v>
      </c>
      <c r="L2" s="9">
        <f>B2*0.01</f>
        <v>6.5</v>
      </c>
      <c r="M2" s="9">
        <f>25</f>
        <v>25</v>
      </c>
      <c r="N2" t="s">
        <v>33</v>
      </c>
      <c r="O2">
        <f>VLOOKUP(N2,вводные!$G$3:$H$122,2,0)</f>
        <v>46.77</v>
      </c>
      <c r="P2" s="38">
        <f>(O2+M2)*S2</f>
        <v>71.77000000000001</v>
      </c>
      <c r="Q2" s="9">
        <f>P2+15</f>
        <v>86.77000000000001</v>
      </c>
      <c r="R2" s="21">
        <v>29</v>
      </c>
      <c r="S2" s="8">
        <f>VLOOKUP(R2,вводные!$A$2:$B$34,2,0)</f>
        <v>1</v>
      </c>
      <c r="T2" s="21">
        <v>98</v>
      </c>
      <c r="U2" s="23">
        <f>((P2+Q2)*(100-T2))/(100-(100-T2))+P2</f>
        <v>75.005510204081645</v>
      </c>
      <c r="V2" s="10">
        <v>0.1</v>
      </c>
      <c r="W2" s="40">
        <f>U2+L2+K2</f>
        <v>296.00551020408165</v>
      </c>
      <c r="X2" s="10">
        <f t="shared" ref="X2:X29" si="2">W2/B2</f>
        <v>0.45539309262166405</v>
      </c>
      <c r="Y2" s="28">
        <v>0.06</v>
      </c>
      <c r="Z2" s="40">
        <f t="shared" ref="Z2:Z29" si="3">B2*Y2</f>
        <v>39</v>
      </c>
      <c r="AA2" s="13">
        <f t="shared" ref="AA2:AA29" si="4">B2-E2-W2-Z2</f>
        <v>179.99448979591835</v>
      </c>
      <c r="AB2" s="14">
        <f t="shared" ref="AB2:AB29" si="5">AA2/B2</f>
        <v>0.27691459968602822</v>
      </c>
      <c r="AC2" s="14">
        <f>((AA2+C2-C2)/C2)*100%</f>
        <v>1.5651694764862465</v>
      </c>
    </row>
    <row r="3" spans="1:29" x14ac:dyDescent="0.25">
      <c r="A3" s="31" t="s">
        <v>154</v>
      </c>
      <c r="B3" s="42">
        <v>720</v>
      </c>
      <c r="C3" s="43">
        <v>128</v>
      </c>
      <c r="D3" s="7">
        <v>0</v>
      </c>
      <c r="E3" s="38">
        <f t="shared" si="0"/>
        <v>128</v>
      </c>
      <c r="F3" s="26">
        <v>21</v>
      </c>
      <c r="G3" s="26">
        <v>18</v>
      </c>
      <c r="H3" s="26">
        <v>5</v>
      </c>
      <c r="I3" s="5">
        <f t="shared" ref="I3:I29" si="6">(F3*G3*H3)/1000</f>
        <v>1.89</v>
      </c>
      <c r="J3" s="10">
        <v>0.43</v>
      </c>
      <c r="K3" s="38">
        <f t="shared" si="1"/>
        <v>309.60000000000002</v>
      </c>
      <c r="L3" s="9">
        <f>B3*0.01</f>
        <v>7.2</v>
      </c>
      <c r="M3" s="9">
        <f>25</f>
        <v>25</v>
      </c>
      <c r="N3" t="s">
        <v>34</v>
      </c>
      <c r="O3">
        <f>VLOOKUP(N3,вводные!$G$3:$H$122,2,0)</f>
        <v>56.94</v>
      </c>
      <c r="P3" s="38">
        <f t="shared" ref="P3:P29" si="7">(O3+M3)*S3</f>
        <v>81.94</v>
      </c>
      <c r="Q3" s="9">
        <f t="shared" ref="Q3:Q29" si="8">P3+15</f>
        <v>96.94</v>
      </c>
      <c r="R3" s="21">
        <v>29</v>
      </c>
      <c r="S3" s="8">
        <f>VLOOKUP(R3,вводные!$A$2:$B$34,2,0)</f>
        <v>1</v>
      </c>
      <c r="T3" s="21">
        <v>95</v>
      </c>
      <c r="U3" s="23">
        <f t="shared" ref="U3:U29" si="9">((P3+Q3)*(100-T3))/(100-(100-T3))+P3</f>
        <v>91.354736842105268</v>
      </c>
      <c r="V3" s="10">
        <v>0</v>
      </c>
      <c r="W3" s="40">
        <f t="shared" ref="W3:W29" si="10">U3+L3+K3</f>
        <v>408.15473684210531</v>
      </c>
      <c r="X3" s="10">
        <f t="shared" si="2"/>
        <v>0.56688157894736846</v>
      </c>
      <c r="Y3" s="28">
        <v>0.06</v>
      </c>
      <c r="Z3" s="40">
        <f t="shared" si="3"/>
        <v>43.199999999999996</v>
      </c>
      <c r="AA3" s="13">
        <f t="shared" si="4"/>
        <v>140.6452631578947</v>
      </c>
      <c r="AB3" s="14">
        <f t="shared" si="5"/>
        <v>0.19534064327485376</v>
      </c>
      <c r="AC3" s="14">
        <f t="shared" ref="AC3:AC29" si="11">((AA3+C3-C3)/C3)*100%</f>
        <v>1.0987911184210524</v>
      </c>
    </row>
    <row r="4" spans="1:29" x14ac:dyDescent="0.25">
      <c r="A4" s="31" t="s">
        <v>155</v>
      </c>
      <c r="B4" s="42">
        <v>720</v>
      </c>
      <c r="C4" s="43">
        <v>129</v>
      </c>
      <c r="D4" s="7">
        <v>0</v>
      </c>
      <c r="E4" s="38">
        <f t="shared" si="0"/>
        <v>129</v>
      </c>
      <c r="F4" s="26">
        <v>21</v>
      </c>
      <c r="G4" s="26">
        <v>18</v>
      </c>
      <c r="H4" s="26">
        <v>5</v>
      </c>
      <c r="I4" s="5">
        <f t="shared" si="6"/>
        <v>1.89</v>
      </c>
      <c r="J4" s="10">
        <v>0.43</v>
      </c>
      <c r="K4" s="38">
        <f t="shared" si="1"/>
        <v>309.60000000000002</v>
      </c>
      <c r="L4" s="9">
        <f t="shared" ref="L4:L29" si="12">B4*0.01</f>
        <v>7.2</v>
      </c>
      <c r="M4" s="9">
        <f>25</f>
        <v>25</v>
      </c>
      <c r="N4" t="s">
        <v>34</v>
      </c>
      <c r="O4">
        <f>VLOOKUP(N4,вводные!$G$3:$H$122,2,0)</f>
        <v>56.94</v>
      </c>
      <c r="P4" s="38">
        <f t="shared" si="7"/>
        <v>81.94</v>
      </c>
      <c r="Q4" s="9">
        <f t="shared" si="8"/>
        <v>96.94</v>
      </c>
      <c r="R4" s="21">
        <v>29</v>
      </c>
      <c r="S4" s="8">
        <f>VLOOKUP(R4,вводные!$A$2:$B$34,2,0)</f>
        <v>1</v>
      </c>
      <c r="T4" s="21">
        <v>95</v>
      </c>
      <c r="U4" s="23">
        <f t="shared" si="9"/>
        <v>91.354736842105268</v>
      </c>
      <c r="V4" s="10">
        <v>0</v>
      </c>
      <c r="W4" s="40">
        <f t="shared" si="10"/>
        <v>408.15473684210531</v>
      </c>
      <c r="X4" s="10">
        <f t="shared" si="2"/>
        <v>0.56688157894736846</v>
      </c>
      <c r="Y4" s="28">
        <v>0.06</v>
      </c>
      <c r="Z4" s="40">
        <f t="shared" si="3"/>
        <v>43.199999999999996</v>
      </c>
      <c r="AA4" s="13">
        <f t="shared" si="4"/>
        <v>139.6452631578947</v>
      </c>
      <c r="AB4" s="14">
        <f t="shared" si="5"/>
        <v>0.19395175438596488</v>
      </c>
      <c r="AC4" s="14">
        <f t="shared" si="11"/>
        <v>1.082521419828641</v>
      </c>
    </row>
    <row r="5" spans="1:29" x14ac:dyDescent="0.25">
      <c r="A5" s="31" t="s">
        <v>156</v>
      </c>
      <c r="B5" s="42">
        <v>720</v>
      </c>
      <c r="C5" s="43">
        <v>129</v>
      </c>
      <c r="D5" s="7">
        <v>0</v>
      </c>
      <c r="E5" s="38">
        <f t="shared" si="0"/>
        <v>129</v>
      </c>
      <c r="F5" s="26">
        <v>21</v>
      </c>
      <c r="G5" s="26">
        <v>18</v>
      </c>
      <c r="H5" s="26">
        <v>5</v>
      </c>
      <c r="I5" s="5">
        <f t="shared" si="6"/>
        <v>1.89</v>
      </c>
      <c r="J5" s="10">
        <v>0.43</v>
      </c>
      <c r="K5" s="38">
        <f t="shared" si="1"/>
        <v>309.60000000000002</v>
      </c>
      <c r="L5" s="9">
        <f t="shared" si="12"/>
        <v>7.2</v>
      </c>
      <c r="M5" s="9">
        <f>25</f>
        <v>25</v>
      </c>
      <c r="N5" t="s">
        <v>34</v>
      </c>
      <c r="O5">
        <f>VLOOKUP(N5,вводные!$G$3:$H$122,2,0)</f>
        <v>56.94</v>
      </c>
      <c r="P5" s="38">
        <f t="shared" si="7"/>
        <v>81.94</v>
      </c>
      <c r="Q5" s="9">
        <f t="shared" si="8"/>
        <v>96.94</v>
      </c>
      <c r="R5" s="21">
        <v>29</v>
      </c>
      <c r="S5" s="8">
        <f>VLOOKUP(R5,вводные!$A$2:$B$34,2,0)</f>
        <v>1</v>
      </c>
      <c r="T5" s="21">
        <v>95</v>
      </c>
      <c r="U5" s="23">
        <f t="shared" si="9"/>
        <v>91.354736842105268</v>
      </c>
      <c r="V5" s="10">
        <v>0</v>
      </c>
      <c r="W5" s="40">
        <f t="shared" si="10"/>
        <v>408.15473684210531</v>
      </c>
      <c r="X5" s="10">
        <f t="shared" si="2"/>
        <v>0.56688157894736846</v>
      </c>
      <c r="Y5" s="28">
        <v>0.06</v>
      </c>
      <c r="Z5" s="40">
        <f t="shared" si="3"/>
        <v>43.199999999999996</v>
      </c>
      <c r="AA5" s="13">
        <f t="shared" si="4"/>
        <v>139.6452631578947</v>
      </c>
      <c r="AB5" s="14">
        <f t="shared" si="5"/>
        <v>0.19395175438596488</v>
      </c>
      <c r="AC5" s="14">
        <f t="shared" si="11"/>
        <v>1.082521419828641</v>
      </c>
    </row>
    <row r="6" spans="1:29" x14ac:dyDescent="0.25">
      <c r="A6" s="31" t="s">
        <v>157</v>
      </c>
      <c r="B6" s="42">
        <v>720</v>
      </c>
      <c r="C6" s="43">
        <v>129</v>
      </c>
      <c r="D6" s="7">
        <v>0</v>
      </c>
      <c r="E6" s="38">
        <f t="shared" si="0"/>
        <v>129</v>
      </c>
      <c r="F6" s="26">
        <v>21</v>
      </c>
      <c r="G6" s="26">
        <v>18</v>
      </c>
      <c r="H6" s="26">
        <v>5</v>
      </c>
      <c r="I6" s="5">
        <f t="shared" si="6"/>
        <v>1.89</v>
      </c>
      <c r="J6" s="10">
        <v>0.43</v>
      </c>
      <c r="K6" s="38">
        <f t="shared" si="1"/>
        <v>309.60000000000002</v>
      </c>
      <c r="L6" s="9">
        <f t="shared" si="12"/>
        <v>7.2</v>
      </c>
      <c r="M6" s="9">
        <f>25</f>
        <v>25</v>
      </c>
      <c r="N6" t="s">
        <v>34</v>
      </c>
      <c r="O6">
        <f>VLOOKUP(N6,вводные!$G$3:$H$122,2,0)</f>
        <v>56.94</v>
      </c>
      <c r="P6" s="38">
        <f t="shared" si="7"/>
        <v>81.94</v>
      </c>
      <c r="Q6" s="9">
        <f t="shared" si="8"/>
        <v>96.94</v>
      </c>
      <c r="R6" s="21">
        <v>29</v>
      </c>
      <c r="S6" s="8">
        <f>VLOOKUP(R6,вводные!$A$2:$B$34,2,0)</f>
        <v>1</v>
      </c>
      <c r="T6" s="21">
        <v>95</v>
      </c>
      <c r="U6" s="23">
        <f t="shared" si="9"/>
        <v>91.354736842105268</v>
      </c>
      <c r="V6" s="10">
        <v>0</v>
      </c>
      <c r="W6" s="40">
        <f t="shared" si="10"/>
        <v>408.15473684210531</v>
      </c>
      <c r="X6" s="10">
        <f t="shared" si="2"/>
        <v>0.56688157894736846</v>
      </c>
      <c r="Y6" s="28">
        <v>0.06</v>
      </c>
      <c r="Z6" s="40">
        <f t="shared" si="3"/>
        <v>43.199999999999996</v>
      </c>
      <c r="AA6" s="13">
        <f t="shared" si="4"/>
        <v>139.6452631578947</v>
      </c>
      <c r="AB6" s="14">
        <f t="shared" si="5"/>
        <v>0.19395175438596488</v>
      </c>
      <c r="AC6" s="14">
        <f t="shared" si="11"/>
        <v>1.082521419828641</v>
      </c>
    </row>
    <row r="7" spans="1:29" x14ac:dyDescent="0.25">
      <c r="A7" s="31" t="s">
        <v>158</v>
      </c>
      <c r="B7" s="42">
        <v>720</v>
      </c>
      <c r="C7" s="43">
        <v>129</v>
      </c>
      <c r="D7" s="7">
        <v>0</v>
      </c>
      <c r="E7" s="38">
        <f t="shared" si="0"/>
        <v>129</v>
      </c>
      <c r="F7" s="26">
        <v>21</v>
      </c>
      <c r="G7" s="26">
        <v>18</v>
      </c>
      <c r="H7" s="26">
        <v>5</v>
      </c>
      <c r="I7" s="5">
        <f t="shared" si="6"/>
        <v>1.89</v>
      </c>
      <c r="J7" s="10">
        <v>0.43</v>
      </c>
      <c r="K7" s="38">
        <f t="shared" si="1"/>
        <v>309.60000000000002</v>
      </c>
      <c r="L7" s="9">
        <f t="shared" si="12"/>
        <v>7.2</v>
      </c>
      <c r="M7" s="9">
        <f>25</f>
        <v>25</v>
      </c>
      <c r="N7" t="s">
        <v>34</v>
      </c>
      <c r="O7">
        <f>VLOOKUP(N7,вводные!$G$3:$H$122,2,0)</f>
        <v>56.94</v>
      </c>
      <c r="P7" s="38">
        <f t="shared" si="7"/>
        <v>81.94</v>
      </c>
      <c r="Q7" s="9">
        <f t="shared" si="8"/>
        <v>96.94</v>
      </c>
      <c r="R7" s="21">
        <v>29</v>
      </c>
      <c r="S7" s="8">
        <f>VLOOKUP(R7,вводные!$A$2:$B$34,2,0)</f>
        <v>1</v>
      </c>
      <c r="T7" s="21">
        <v>95</v>
      </c>
      <c r="U7" s="23">
        <f t="shared" si="9"/>
        <v>91.354736842105268</v>
      </c>
      <c r="V7" s="10">
        <v>0</v>
      </c>
      <c r="W7" s="40">
        <f t="shared" si="10"/>
        <v>408.15473684210531</v>
      </c>
      <c r="X7" s="10">
        <f t="shared" si="2"/>
        <v>0.56688157894736846</v>
      </c>
      <c r="Y7" s="28">
        <v>0.06</v>
      </c>
      <c r="Z7" s="40">
        <f t="shared" si="3"/>
        <v>43.199999999999996</v>
      </c>
      <c r="AA7" s="13">
        <f t="shared" si="4"/>
        <v>139.6452631578947</v>
      </c>
      <c r="AB7" s="14">
        <f t="shared" si="5"/>
        <v>0.19395175438596488</v>
      </c>
      <c r="AC7" s="14">
        <f t="shared" si="11"/>
        <v>1.082521419828641</v>
      </c>
    </row>
    <row r="8" spans="1:29" x14ac:dyDescent="0.25">
      <c r="A8" s="31" t="s">
        <v>159</v>
      </c>
      <c r="B8" s="42">
        <v>720</v>
      </c>
      <c r="C8" s="43">
        <v>129</v>
      </c>
      <c r="D8" s="7">
        <v>0</v>
      </c>
      <c r="E8" s="38">
        <f t="shared" si="0"/>
        <v>129</v>
      </c>
      <c r="F8" s="26">
        <v>21</v>
      </c>
      <c r="G8" s="26">
        <v>18</v>
      </c>
      <c r="H8" s="26">
        <v>5</v>
      </c>
      <c r="I8" s="5">
        <f t="shared" si="6"/>
        <v>1.89</v>
      </c>
      <c r="J8" s="10">
        <v>0.43</v>
      </c>
      <c r="K8" s="38">
        <f t="shared" si="1"/>
        <v>309.60000000000002</v>
      </c>
      <c r="L8" s="9">
        <f t="shared" si="12"/>
        <v>7.2</v>
      </c>
      <c r="M8" s="9">
        <f>25</f>
        <v>25</v>
      </c>
      <c r="N8" t="s">
        <v>34</v>
      </c>
      <c r="O8">
        <f>VLOOKUP(N8,вводные!$G$3:$H$122,2,0)</f>
        <v>56.94</v>
      </c>
      <c r="P8" s="38">
        <f t="shared" si="7"/>
        <v>81.94</v>
      </c>
      <c r="Q8" s="9">
        <f t="shared" si="8"/>
        <v>96.94</v>
      </c>
      <c r="R8" s="21">
        <v>29</v>
      </c>
      <c r="S8" s="8">
        <f>VLOOKUP(R8,вводные!$A$2:$B$34,2,0)</f>
        <v>1</v>
      </c>
      <c r="T8" s="21">
        <v>95</v>
      </c>
      <c r="U8" s="23">
        <f t="shared" si="9"/>
        <v>91.354736842105268</v>
      </c>
      <c r="V8" s="10">
        <v>0</v>
      </c>
      <c r="W8" s="40">
        <f t="shared" si="10"/>
        <v>408.15473684210531</v>
      </c>
      <c r="X8" s="10">
        <f t="shared" si="2"/>
        <v>0.56688157894736846</v>
      </c>
      <c r="Y8" s="28">
        <v>0.06</v>
      </c>
      <c r="Z8" s="40">
        <f t="shared" si="3"/>
        <v>43.199999999999996</v>
      </c>
      <c r="AA8" s="13">
        <f t="shared" si="4"/>
        <v>139.6452631578947</v>
      </c>
      <c r="AB8" s="14">
        <f t="shared" si="5"/>
        <v>0.19395175438596488</v>
      </c>
      <c r="AC8" s="14">
        <f t="shared" si="11"/>
        <v>1.082521419828641</v>
      </c>
    </row>
    <row r="9" spans="1:29" x14ac:dyDescent="0.25">
      <c r="A9" s="31" t="s">
        <v>160</v>
      </c>
      <c r="B9" s="42">
        <v>720</v>
      </c>
      <c r="C9" s="43">
        <v>129</v>
      </c>
      <c r="D9" s="7">
        <v>0</v>
      </c>
      <c r="E9" s="38">
        <f t="shared" si="0"/>
        <v>129</v>
      </c>
      <c r="F9" s="26">
        <v>21</v>
      </c>
      <c r="G9" s="26">
        <v>18</v>
      </c>
      <c r="H9" s="26">
        <v>5</v>
      </c>
      <c r="I9" s="5">
        <f t="shared" si="6"/>
        <v>1.89</v>
      </c>
      <c r="J9" s="10">
        <v>0.43</v>
      </c>
      <c r="K9" s="38">
        <f t="shared" si="1"/>
        <v>309.60000000000002</v>
      </c>
      <c r="L9" s="9">
        <f t="shared" si="12"/>
        <v>7.2</v>
      </c>
      <c r="M9" s="9">
        <f>25</f>
        <v>25</v>
      </c>
      <c r="N9" t="s">
        <v>34</v>
      </c>
      <c r="O9">
        <f>VLOOKUP(N9,вводные!$G$3:$H$122,2,0)</f>
        <v>56.94</v>
      </c>
      <c r="P9" s="38">
        <f t="shared" si="7"/>
        <v>81.94</v>
      </c>
      <c r="Q9" s="9">
        <f t="shared" si="8"/>
        <v>96.94</v>
      </c>
      <c r="R9" s="21">
        <v>29</v>
      </c>
      <c r="S9" s="8">
        <f>VLOOKUP(R9,вводные!$A$2:$B$34,2,0)</f>
        <v>1</v>
      </c>
      <c r="T9" s="21">
        <v>95</v>
      </c>
      <c r="U9" s="23">
        <f t="shared" si="9"/>
        <v>91.354736842105268</v>
      </c>
      <c r="V9" s="10">
        <v>0</v>
      </c>
      <c r="W9" s="40">
        <f t="shared" si="10"/>
        <v>408.15473684210531</v>
      </c>
      <c r="X9" s="10">
        <f t="shared" si="2"/>
        <v>0.56688157894736846</v>
      </c>
      <c r="Y9" s="28">
        <v>0.06</v>
      </c>
      <c r="Z9" s="40">
        <f t="shared" si="3"/>
        <v>43.199999999999996</v>
      </c>
      <c r="AA9" s="13">
        <f t="shared" si="4"/>
        <v>139.6452631578947</v>
      </c>
      <c r="AB9" s="14">
        <f t="shared" si="5"/>
        <v>0.19395175438596488</v>
      </c>
      <c r="AC9" s="14">
        <f t="shared" si="11"/>
        <v>1.082521419828641</v>
      </c>
    </row>
    <row r="10" spans="1:29" x14ac:dyDescent="0.25">
      <c r="A10" s="31" t="s">
        <v>161</v>
      </c>
      <c r="B10" s="42">
        <v>720</v>
      </c>
      <c r="C10" s="43">
        <v>129</v>
      </c>
      <c r="D10" s="7">
        <v>0</v>
      </c>
      <c r="E10" s="38">
        <f t="shared" ref="E10:E29" si="13">C10+D10</f>
        <v>129</v>
      </c>
      <c r="F10" s="26">
        <v>21</v>
      </c>
      <c r="G10" s="26">
        <v>18</v>
      </c>
      <c r="H10" s="26">
        <v>5</v>
      </c>
      <c r="I10" s="5">
        <f t="shared" si="6"/>
        <v>1.89</v>
      </c>
      <c r="J10" s="10">
        <v>0.43</v>
      </c>
      <c r="K10" s="38">
        <f t="shared" si="1"/>
        <v>309.60000000000002</v>
      </c>
      <c r="L10" s="9">
        <f t="shared" si="12"/>
        <v>7.2</v>
      </c>
      <c r="M10" s="9">
        <f>25</f>
        <v>25</v>
      </c>
      <c r="N10" t="s">
        <v>34</v>
      </c>
      <c r="O10">
        <f>VLOOKUP(N10,вводные!$G$3:$H$122,2,0)</f>
        <v>56.94</v>
      </c>
      <c r="P10" s="38">
        <f t="shared" si="7"/>
        <v>81.94</v>
      </c>
      <c r="Q10" s="9">
        <f t="shared" si="8"/>
        <v>96.94</v>
      </c>
      <c r="R10" s="21">
        <v>29</v>
      </c>
      <c r="S10" s="8">
        <f>VLOOKUP(R10,вводные!$A$2:$B$34,2,0)</f>
        <v>1</v>
      </c>
      <c r="T10" s="21">
        <v>95</v>
      </c>
      <c r="U10" s="23">
        <f t="shared" si="9"/>
        <v>91.354736842105268</v>
      </c>
      <c r="V10" s="10">
        <v>0</v>
      </c>
      <c r="W10" s="40">
        <f t="shared" si="10"/>
        <v>408.15473684210531</v>
      </c>
      <c r="X10" s="10">
        <f t="shared" si="2"/>
        <v>0.56688157894736846</v>
      </c>
      <c r="Y10" s="28">
        <v>0.06</v>
      </c>
      <c r="Z10" s="40">
        <f t="shared" si="3"/>
        <v>43.199999999999996</v>
      </c>
      <c r="AA10" s="13">
        <f t="shared" si="4"/>
        <v>139.6452631578947</v>
      </c>
      <c r="AB10" s="14">
        <f t="shared" si="5"/>
        <v>0.19395175438596488</v>
      </c>
      <c r="AC10" s="14">
        <f t="shared" si="11"/>
        <v>1.082521419828641</v>
      </c>
    </row>
    <row r="11" spans="1:29" x14ac:dyDescent="0.25">
      <c r="A11" s="31" t="s">
        <v>162</v>
      </c>
      <c r="B11" s="42">
        <v>720</v>
      </c>
      <c r="C11" s="43">
        <v>129</v>
      </c>
      <c r="D11" s="7">
        <v>0</v>
      </c>
      <c r="E11" s="38">
        <f t="shared" si="13"/>
        <v>129</v>
      </c>
      <c r="F11" s="26">
        <v>21</v>
      </c>
      <c r="G11" s="26">
        <v>18</v>
      </c>
      <c r="H11" s="26">
        <v>5</v>
      </c>
      <c r="I11" s="5">
        <f t="shared" si="6"/>
        <v>1.89</v>
      </c>
      <c r="J11" s="10">
        <v>0.43</v>
      </c>
      <c r="K11" s="38">
        <f t="shared" si="1"/>
        <v>309.60000000000002</v>
      </c>
      <c r="L11" s="9">
        <f t="shared" si="12"/>
        <v>7.2</v>
      </c>
      <c r="M11" s="9">
        <f>25</f>
        <v>25</v>
      </c>
      <c r="N11" t="s">
        <v>34</v>
      </c>
      <c r="O11">
        <f>VLOOKUP(N11,вводные!$G$3:$H$122,2,0)</f>
        <v>56.94</v>
      </c>
      <c r="P11" s="38">
        <f t="shared" si="7"/>
        <v>81.94</v>
      </c>
      <c r="Q11" s="9">
        <f t="shared" si="8"/>
        <v>96.94</v>
      </c>
      <c r="R11" s="21">
        <v>29</v>
      </c>
      <c r="S11" s="8">
        <f>VLOOKUP(R11,вводные!$A$2:$B$34,2,0)</f>
        <v>1</v>
      </c>
      <c r="T11" s="21">
        <v>95</v>
      </c>
      <c r="U11" s="23">
        <f t="shared" si="9"/>
        <v>91.354736842105268</v>
      </c>
      <c r="V11" s="10">
        <v>0</v>
      </c>
      <c r="W11" s="40">
        <f t="shared" si="10"/>
        <v>408.15473684210531</v>
      </c>
      <c r="X11" s="10">
        <f t="shared" si="2"/>
        <v>0.56688157894736846</v>
      </c>
      <c r="Y11" s="28">
        <v>0.06</v>
      </c>
      <c r="Z11" s="40">
        <f t="shared" si="3"/>
        <v>43.199999999999996</v>
      </c>
      <c r="AA11" s="13">
        <f t="shared" si="4"/>
        <v>139.6452631578947</v>
      </c>
      <c r="AB11" s="14">
        <f t="shared" si="5"/>
        <v>0.19395175438596488</v>
      </c>
      <c r="AC11" s="14">
        <f t="shared" si="11"/>
        <v>1.082521419828641</v>
      </c>
    </row>
    <row r="12" spans="1:29" x14ac:dyDescent="0.25">
      <c r="A12" s="31"/>
      <c r="B12" s="42"/>
      <c r="C12" s="43"/>
      <c r="D12" s="7">
        <v>0</v>
      </c>
      <c r="E12" s="38">
        <f t="shared" si="13"/>
        <v>0</v>
      </c>
      <c r="F12" s="26">
        <v>21</v>
      </c>
      <c r="G12" s="26">
        <v>18</v>
      </c>
      <c r="H12" s="26">
        <v>5</v>
      </c>
      <c r="I12" s="5">
        <f t="shared" si="6"/>
        <v>1.89</v>
      </c>
      <c r="J12" s="10">
        <v>0.43</v>
      </c>
      <c r="K12" s="38">
        <f t="shared" si="1"/>
        <v>0</v>
      </c>
      <c r="L12" s="9">
        <f t="shared" si="12"/>
        <v>0</v>
      </c>
      <c r="M12" s="9">
        <f>25</f>
        <v>25</v>
      </c>
      <c r="N12" t="s">
        <v>34</v>
      </c>
      <c r="O12">
        <f>VLOOKUP(N12,вводные!$G$3:$H$122,2,0)</f>
        <v>56.94</v>
      </c>
      <c r="P12" s="38">
        <f t="shared" si="7"/>
        <v>81.94</v>
      </c>
      <c r="Q12" s="9">
        <f t="shared" si="8"/>
        <v>96.94</v>
      </c>
      <c r="R12" s="21">
        <v>29</v>
      </c>
      <c r="S12" s="8">
        <f>VLOOKUP(R12,вводные!$A$2:$B$34,2,0)</f>
        <v>1</v>
      </c>
      <c r="T12" s="21">
        <v>95</v>
      </c>
      <c r="U12" s="23">
        <f t="shared" si="9"/>
        <v>91.354736842105268</v>
      </c>
      <c r="V12" s="10">
        <v>0</v>
      </c>
      <c r="W12" s="40">
        <f t="shared" si="10"/>
        <v>91.354736842105268</v>
      </c>
      <c r="X12" s="10" t="e">
        <f t="shared" si="2"/>
        <v>#DIV/0!</v>
      </c>
      <c r="Y12" s="28">
        <v>0.06</v>
      </c>
      <c r="Z12" s="40">
        <f t="shared" si="3"/>
        <v>0</v>
      </c>
      <c r="AA12" s="13">
        <f t="shared" si="4"/>
        <v>-91.354736842105268</v>
      </c>
      <c r="AB12" s="14" t="e">
        <f t="shared" si="5"/>
        <v>#DIV/0!</v>
      </c>
      <c r="AC12" s="14" t="e">
        <f t="shared" si="11"/>
        <v>#DIV/0!</v>
      </c>
    </row>
    <row r="13" spans="1:29" x14ac:dyDescent="0.25">
      <c r="A13" s="31"/>
      <c r="B13" s="42"/>
      <c r="C13" s="43"/>
      <c r="D13" s="7">
        <v>0</v>
      </c>
      <c r="E13" s="38">
        <f t="shared" si="13"/>
        <v>0</v>
      </c>
      <c r="F13" s="26">
        <v>21</v>
      </c>
      <c r="G13" s="26">
        <v>18</v>
      </c>
      <c r="H13" s="26">
        <v>5</v>
      </c>
      <c r="I13" s="5">
        <f t="shared" si="6"/>
        <v>1.89</v>
      </c>
      <c r="J13" s="10">
        <v>0.43</v>
      </c>
      <c r="K13" s="38">
        <f t="shared" si="1"/>
        <v>0</v>
      </c>
      <c r="L13" s="9">
        <f t="shared" si="12"/>
        <v>0</v>
      </c>
      <c r="M13" s="9">
        <f>25</f>
        <v>25</v>
      </c>
      <c r="N13" t="s">
        <v>34</v>
      </c>
      <c r="O13">
        <f>VLOOKUP(N13,вводные!$G$3:$H$122,2,0)</f>
        <v>56.94</v>
      </c>
      <c r="P13" s="38">
        <f t="shared" si="7"/>
        <v>81.94</v>
      </c>
      <c r="Q13" s="9">
        <f t="shared" si="8"/>
        <v>96.94</v>
      </c>
      <c r="R13" s="21">
        <v>29</v>
      </c>
      <c r="S13" s="8">
        <f>VLOOKUP(R13,вводные!$A$2:$B$34,2,0)</f>
        <v>1</v>
      </c>
      <c r="T13" s="21">
        <v>95</v>
      </c>
      <c r="U13" s="23">
        <f t="shared" si="9"/>
        <v>91.354736842105268</v>
      </c>
      <c r="V13" s="10">
        <v>0</v>
      </c>
      <c r="W13" s="40">
        <f t="shared" si="10"/>
        <v>91.354736842105268</v>
      </c>
      <c r="X13" s="10" t="e">
        <f t="shared" si="2"/>
        <v>#DIV/0!</v>
      </c>
      <c r="Y13" s="28">
        <v>0.06</v>
      </c>
      <c r="Z13" s="40">
        <f t="shared" si="3"/>
        <v>0</v>
      </c>
      <c r="AA13" s="13">
        <f t="shared" si="4"/>
        <v>-91.354736842105268</v>
      </c>
      <c r="AB13" s="14" t="e">
        <f t="shared" si="5"/>
        <v>#DIV/0!</v>
      </c>
      <c r="AC13" s="14" t="e">
        <f t="shared" si="11"/>
        <v>#DIV/0!</v>
      </c>
    </row>
    <row r="14" spans="1:29" x14ac:dyDescent="0.25">
      <c r="A14" s="31"/>
      <c r="B14" s="42"/>
      <c r="C14" s="43"/>
      <c r="D14" s="7">
        <v>0</v>
      </c>
      <c r="E14" s="38">
        <f t="shared" si="13"/>
        <v>0</v>
      </c>
      <c r="F14" s="26">
        <v>21</v>
      </c>
      <c r="G14" s="26">
        <v>18</v>
      </c>
      <c r="H14" s="26">
        <v>5</v>
      </c>
      <c r="I14" s="5">
        <f t="shared" si="6"/>
        <v>1.89</v>
      </c>
      <c r="J14" s="10">
        <v>0.43</v>
      </c>
      <c r="K14" s="38">
        <f t="shared" si="1"/>
        <v>0</v>
      </c>
      <c r="L14" s="9">
        <f t="shared" si="12"/>
        <v>0</v>
      </c>
      <c r="M14" s="9">
        <f>25</f>
        <v>25</v>
      </c>
      <c r="N14" t="s">
        <v>34</v>
      </c>
      <c r="O14">
        <f>VLOOKUP(N14,вводные!$G$3:$H$122,2,0)</f>
        <v>56.94</v>
      </c>
      <c r="P14" s="38">
        <f t="shared" si="7"/>
        <v>81.94</v>
      </c>
      <c r="Q14" s="9">
        <f t="shared" si="8"/>
        <v>96.94</v>
      </c>
      <c r="R14" s="21">
        <v>29</v>
      </c>
      <c r="S14" s="8">
        <f>VLOOKUP(R14,вводные!$A$2:$B$34,2,0)</f>
        <v>1</v>
      </c>
      <c r="T14" s="21">
        <v>95</v>
      </c>
      <c r="U14" s="23">
        <f t="shared" si="9"/>
        <v>91.354736842105268</v>
      </c>
      <c r="V14" s="10">
        <v>0</v>
      </c>
      <c r="W14" s="40">
        <f t="shared" si="10"/>
        <v>91.354736842105268</v>
      </c>
      <c r="X14" s="10" t="e">
        <f t="shared" si="2"/>
        <v>#DIV/0!</v>
      </c>
      <c r="Y14" s="28">
        <v>0.06</v>
      </c>
      <c r="Z14" s="40">
        <f t="shared" si="3"/>
        <v>0</v>
      </c>
      <c r="AA14" s="13">
        <f t="shared" si="4"/>
        <v>-91.354736842105268</v>
      </c>
      <c r="AB14" s="14" t="e">
        <f t="shared" si="5"/>
        <v>#DIV/0!</v>
      </c>
      <c r="AC14" s="14" t="e">
        <f t="shared" si="11"/>
        <v>#DIV/0!</v>
      </c>
    </row>
    <row r="15" spans="1:29" x14ac:dyDescent="0.25">
      <c r="A15" s="31"/>
      <c r="B15" s="42"/>
      <c r="C15" s="43"/>
      <c r="D15" s="7">
        <v>0</v>
      </c>
      <c r="E15" s="38">
        <f t="shared" si="13"/>
        <v>0</v>
      </c>
      <c r="F15" s="26">
        <v>21</v>
      </c>
      <c r="G15" s="26">
        <v>18</v>
      </c>
      <c r="H15" s="26">
        <v>5</v>
      </c>
      <c r="I15" s="5">
        <f t="shared" si="6"/>
        <v>1.89</v>
      </c>
      <c r="J15" s="10">
        <v>0.43</v>
      </c>
      <c r="K15" s="38">
        <f t="shared" si="1"/>
        <v>0</v>
      </c>
      <c r="L15" s="9">
        <f t="shared" si="12"/>
        <v>0</v>
      </c>
      <c r="M15" s="9">
        <f>25</f>
        <v>25</v>
      </c>
      <c r="N15" t="s">
        <v>34</v>
      </c>
      <c r="O15">
        <f>VLOOKUP(N15,вводные!$G$3:$H$122,2,0)</f>
        <v>56.94</v>
      </c>
      <c r="P15" s="38">
        <f t="shared" si="7"/>
        <v>81.94</v>
      </c>
      <c r="Q15" s="9">
        <f t="shared" si="8"/>
        <v>96.94</v>
      </c>
      <c r="R15" s="21">
        <v>29</v>
      </c>
      <c r="S15" s="8">
        <f>VLOOKUP(R15,вводные!$A$2:$B$34,2,0)</f>
        <v>1</v>
      </c>
      <c r="T15" s="21">
        <v>95</v>
      </c>
      <c r="U15" s="23">
        <f t="shared" si="9"/>
        <v>91.354736842105268</v>
      </c>
      <c r="V15" s="10">
        <v>0</v>
      </c>
      <c r="W15" s="40">
        <f t="shared" si="10"/>
        <v>91.354736842105268</v>
      </c>
      <c r="X15" s="10" t="e">
        <f t="shared" si="2"/>
        <v>#DIV/0!</v>
      </c>
      <c r="Y15" s="28">
        <v>0.06</v>
      </c>
      <c r="Z15" s="40">
        <f t="shared" si="3"/>
        <v>0</v>
      </c>
      <c r="AA15" s="13">
        <f t="shared" si="4"/>
        <v>-91.354736842105268</v>
      </c>
      <c r="AB15" s="14" t="e">
        <f t="shared" si="5"/>
        <v>#DIV/0!</v>
      </c>
      <c r="AC15" s="14" t="e">
        <f t="shared" si="11"/>
        <v>#DIV/0!</v>
      </c>
    </row>
    <row r="16" spans="1:29" x14ac:dyDescent="0.25">
      <c r="A16" s="31"/>
      <c r="B16" s="42"/>
      <c r="C16" s="43"/>
      <c r="D16" s="7">
        <v>0</v>
      </c>
      <c r="E16" s="38">
        <f t="shared" si="13"/>
        <v>0</v>
      </c>
      <c r="F16" s="26">
        <v>21</v>
      </c>
      <c r="G16" s="26">
        <v>18</v>
      </c>
      <c r="H16" s="26">
        <v>5</v>
      </c>
      <c r="I16" s="5">
        <f t="shared" si="6"/>
        <v>1.89</v>
      </c>
      <c r="J16" s="10">
        <v>0.43</v>
      </c>
      <c r="K16" s="38">
        <f t="shared" si="1"/>
        <v>0</v>
      </c>
      <c r="L16" s="9">
        <f t="shared" si="12"/>
        <v>0</v>
      </c>
      <c r="M16" s="9">
        <f>25</f>
        <v>25</v>
      </c>
      <c r="N16" t="s">
        <v>34</v>
      </c>
      <c r="O16">
        <f>VLOOKUP(N16,вводные!$G$3:$H$122,2,0)</f>
        <v>56.94</v>
      </c>
      <c r="P16" s="38">
        <f t="shared" si="7"/>
        <v>81.94</v>
      </c>
      <c r="Q16" s="9">
        <f t="shared" si="8"/>
        <v>96.94</v>
      </c>
      <c r="R16" s="21">
        <v>29</v>
      </c>
      <c r="S16" s="8">
        <f>VLOOKUP(R16,вводные!$A$2:$B$34,2,0)</f>
        <v>1</v>
      </c>
      <c r="T16" s="21">
        <v>95</v>
      </c>
      <c r="U16" s="23">
        <f t="shared" si="9"/>
        <v>91.354736842105268</v>
      </c>
      <c r="V16" s="10">
        <v>0</v>
      </c>
      <c r="W16" s="40">
        <f t="shared" si="10"/>
        <v>91.354736842105268</v>
      </c>
      <c r="X16" s="10" t="e">
        <f t="shared" si="2"/>
        <v>#DIV/0!</v>
      </c>
      <c r="Y16" s="28">
        <v>0.06</v>
      </c>
      <c r="Z16" s="40">
        <f t="shared" si="3"/>
        <v>0</v>
      </c>
      <c r="AA16" s="13">
        <f t="shared" si="4"/>
        <v>-91.354736842105268</v>
      </c>
      <c r="AB16" s="14" t="e">
        <f t="shared" si="5"/>
        <v>#DIV/0!</v>
      </c>
      <c r="AC16" s="14" t="e">
        <f t="shared" si="11"/>
        <v>#DIV/0!</v>
      </c>
    </row>
    <row r="17" spans="1:29" x14ac:dyDescent="0.25">
      <c r="A17" s="31"/>
      <c r="B17" s="42"/>
      <c r="C17" s="43"/>
      <c r="D17" s="7">
        <v>0</v>
      </c>
      <c r="E17" s="38">
        <f t="shared" si="13"/>
        <v>0</v>
      </c>
      <c r="F17" s="26">
        <v>21</v>
      </c>
      <c r="G17" s="26">
        <v>18</v>
      </c>
      <c r="H17" s="26">
        <v>5</v>
      </c>
      <c r="I17" s="5">
        <f t="shared" si="6"/>
        <v>1.89</v>
      </c>
      <c r="J17" s="10">
        <v>0.43</v>
      </c>
      <c r="K17" s="38">
        <f t="shared" si="1"/>
        <v>0</v>
      </c>
      <c r="L17" s="9">
        <f t="shared" si="12"/>
        <v>0</v>
      </c>
      <c r="M17" s="9">
        <f>25</f>
        <v>25</v>
      </c>
      <c r="N17" t="s">
        <v>34</v>
      </c>
      <c r="O17">
        <f>VLOOKUP(N17,вводные!$G$3:$H$122,2,0)</f>
        <v>56.94</v>
      </c>
      <c r="P17" s="38">
        <f t="shared" si="7"/>
        <v>81.94</v>
      </c>
      <c r="Q17" s="9">
        <f t="shared" si="8"/>
        <v>96.94</v>
      </c>
      <c r="R17" s="21">
        <v>29</v>
      </c>
      <c r="S17" s="8">
        <f>VLOOKUP(R17,вводные!$A$2:$B$34,2,0)</f>
        <v>1</v>
      </c>
      <c r="T17" s="21">
        <v>95</v>
      </c>
      <c r="U17" s="23">
        <f t="shared" si="9"/>
        <v>91.354736842105268</v>
      </c>
      <c r="V17" s="10">
        <v>0</v>
      </c>
      <c r="W17" s="40">
        <f t="shared" si="10"/>
        <v>91.354736842105268</v>
      </c>
      <c r="X17" s="10" t="e">
        <f t="shared" si="2"/>
        <v>#DIV/0!</v>
      </c>
      <c r="Y17" s="28">
        <v>0.06</v>
      </c>
      <c r="Z17" s="40">
        <f t="shared" si="3"/>
        <v>0</v>
      </c>
      <c r="AA17" s="13">
        <f t="shared" si="4"/>
        <v>-91.354736842105268</v>
      </c>
      <c r="AB17" s="14" t="e">
        <f t="shared" si="5"/>
        <v>#DIV/0!</v>
      </c>
      <c r="AC17" s="14" t="e">
        <f t="shared" si="11"/>
        <v>#DIV/0!</v>
      </c>
    </row>
    <row r="18" spans="1:29" x14ac:dyDescent="0.25">
      <c r="A18" s="31"/>
      <c r="B18" s="42"/>
      <c r="C18" s="43"/>
      <c r="D18" s="7">
        <v>0</v>
      </c>
      <c r="E18" s="38">
        <f t="shared" si="13"/>
        <v>0</v>
      </c>
      <c r="F18" s="26">
        <v>21</v>
      </c>
      <c r="G18" s="26">
        <v>18</v>
      </c>
      <c r="H18" s="26">
        <v>5</v>
      </c>
      <c r="I18" s="5">
        <f t="shared" si="6"/>
        <v>1.89</v>
      </c>
      <c r="J18" s="10">
        <v>0.43</v>
      </c>
      <c r="K18" s="38">
        <f t="shared" si="1"/>
        <v>0</v>
      </c>
      <c r="L18" s="9">
        <f t="shared" si="12"/>
        <v>0</v>
      </c>
      <c r="M18" s="9">
        <f>25</f>
        <v>25</v>
      </c>
      <c r="N18" t="s">
        <v>34</v>
      </c>
      <c r="O18">
        <f>VLOOKUP(N18,вводные!$G$3:$H$122,2,0)</f>
        <v>56.94</v>
      </c>
      <c r="P18" s="38">
        <f t="shared" si="7"/>
        <v>81.94</v>
      </c>
      <c r="Q18" s="9">
        <f t="shared" si="8"/>
        <v>96.94</v>
      </c>
      <c r="R18" s="21">
        <v>29</v>
      </c>
      <c r="S18" s="8">
        <f>VLOOKUP(R18,вводные!$A$2:$B$34,2,0)</f>
        <v>1</v>
      </c>
      <c r="T18" s="21">
        <v>95</v>
      </c>
      <c r="U18" s="23">
        <f t="shared" si="9"/>
        <v>91.354736842105268</v>
      </c>
      <c r="V18" s="10">
        <v>0</v>
      </c>
      <c r="W18" s="40">
        <f t="shared" si="10"/>
        <v>91.354736842105268</v>
      </c>
      <c r="X18" s="10" t="e">
        <f t="shared" si="2"/>
        <v>#DIV/0!</v>
      </c>
      <c r="Y18" s="28">
        <v>0.06</v>
      </c>
      <c r="Z18" s="40">
        <f t="shared" si="3"/>
        <v>0</v>
      </c>
      <c r="AA18" s="13">
        <f t="shared" si="4"/>
        <v>-91.354736842105268</v>
      </c>
      <c r="AB18" s="14" t="e">
        <f t="shared" si="5"/>
        <v>#DIV/0!</v>
      </c>
      <c r="AC18" s="14" t="e">
        <f t="shared" si="11"/>
        <v>#DIV/0!</v>
      </c>
    </row>
    <row r="19" spans="1:29" x14ac:dyDescent="0.25">
      <c r="A19" s="31"/>
      <c r="B19" s="42"/>
      <c r="C19" s="43"/>
      <c r="D19" s="7">
        <v>0</v>
      </c>
      <c r="E19" s="38">
        <f t="shared" si="13"/>
        <v>0</v>
      </c>
      <c r="F19" s="26">
        <v>21</v>
      </c>
      <c r="G19" s="26">
        <v>18</v>
      </c>
      <c r="H19" s="26">
        <v>5</v>
      </c>
      <c r="I19" s="5">
        <f t="shared" si="6"/>
        <v>1.89</v>
      </c>
      <c r="J19" s="10">
        <v>0.43</v>
      </c>
      <c r="K19" s="38">
        <f t="shared" si="1"/>
        <v>0</v>
      </c>
      <c r="L19" s="9">
        <f t="shared" si="12"/>
        <v>0</v>
      </c>
      <c r="M19" s="9">
        <f>25</f>
        <v>25</v>
      </c>
      <c r="N19" t="s">
        <v>34</v>
      </c>
      <c r="O19">
        <f>VLOOKUP(N19,вводные!$G$3:$H$122,2,0)</f>
        <v>56.94</v>
      </c>
      <c r="P19" s="38">
        <f t="shared" si="7"/>
        <v>81.94</v>
      </c>
      <c r="Q19" s="9">
        <f t="shared" si="8"/>
        <v>96.94</v>
      </c>
      <c r="R19" s="21">
        <v>29</v>
      </c>
      <c r="S19" s="8">
        <f>VLOOKUP(R19,вводные!$A$2:$B$34,2,0)</f>
        <v>1</v>
      </c>
      <c r="T19" s="21">
        <v>95</v>
      </c>
      <c r="U19" s="23">
        <f t="shared" si="9"/>
        <v>91.354736842105268</v>
      </c>
      <c r="V19" s="10">
        <v>0</v>
      </c>
      <c r="W19" s="40">
        <f t="shared" si="10"/>
        <v>91.354736842105268</v>
      </c>
      <c r="X19" s="10" t="e">
        <f t="shared" si="2"/>
        <v>#DIV/0!</v>
      </c>
      <c r="Y19" s="28">
        <v>0.06</v>
      </c>
      <c r="Z19" s="40">
        <f t="shared" si="3"/>
        <v>0</v>
      </c>
      <c r="AA19" s="13">
        <f t="shared" si="4"/>
        <v>-91.354736842105268</v>
      </c>
      <c r="AB19" s="14" t="e">
        <f t="shared" si="5"/>
        <v>#DIV/0!</v>
      </c>
      <c r="AC19" s="14" t="e">
        <f t="shared" si="11"/>
        <v>#DIV/0!</v>
      </c>
    </row>
    <row r="20" spans="1:29" x14ac:dyDescent="0.25">
      <c r="A20" s="31"/>
      <c r="B20" s="42"/>
      <c r="C20" s="43"/>
      <c r="D20" s="7">
        <v>0</v>
      </c>
      <c r="E20" s="38">
        <f t="shared" si="13"/>
        <v>0</v>
      </c>
      <c r="F20" s="26">
        <v>21</v>
      </c>
      <c r="G20" s="26">
        <v>18</v>
      </c>
      <c r="H20" s="26">
        <v>5</v>
      </c>
      <c r="I20" s="5">
        <f t="shared" si="6"/>
        <v>1.89</v>
      </c>
      <c r="J20" s="10">
        <v>0.43</v>
      </c>
      <c r="K20" s="38">
        <f t="shared" si="1"/>
        <v>0</v>
      </c>
      <c r="L20" s="9">
        <f t="shared" si="12"/>
        <v>0</v>
      </c>
      <c r="M20" s="9">
        <f>25</f>
        <v>25</v>
      </c>
      <c r="N20" t="s">
        <v>34</v>
      </c>
      <c r="O20">
        <f>VLOOKUP(N20,вводные!$G$3:$H$122,2,0)</f>
        <v>56.94</v>
      </c>
      <c r="P20" s="38">
        <f t="shared" si="7"/>
        <v>81.94</v>
      </c>
      <c r="Q20" s="9">
        <f t="shared" si="8"/>
        <v>96.94</v>
      </c>
      <c r="R20" s="21">
        <v>29</v>
      </c>
      <c r="S20" s="8">
        <f>VLOOKUP(R20,вводные!$A$2:$B$34,2,0)</f>
        <v>1</v>
      </c>
      <c r="T20" s="21">
        <v>95</v>
      </c>
      <c r="U20" s="23">
        <f t="shared" si="9"/>
        <v>91.354736842105268</v>
      </c>
      <c r="V20" s="10">
        <v>0</v>
      </c>
      <c r="W20" s="40">
        <f t="shared" si="10"/>
        <v>91.354736842105268</v>
      </c>
      <c r="X20" s="10" t="e">
        <f t="shared" si="2"/>
        <v>#DIV/0!</v>
      </c>
      <c r="Y20" s="28">
        <v>0.06</v>
      </c>
      <c r="Z20" s="40">
        <f t="shared" si="3"/>
        <v>0</v>
      </c>
      <c r="AA20" s="13">
        <f t="shared" si="4"/>
        <v>-91.354736842105268</v>
      </c>
      <c r="AB20" s="14" t="e">
        <f t="shared" si="5"/>
        <v>#DIV/0!</v>
      </c>
      <c r="AC20" s="14" t="e">
        <f t="shared" si="11"/>
        <v>#DIV/0!</v>
      </c>
    </row>
    <row r="21" spans="1:29" x14ac:dyDescent="0.25">
      <c r="A21" s="31"/>
      <c r="B21" s="42"/>
      <c r="C21" s="43"/>
      <c r="D21" s="7">
        <v>0</v>
      </c>
      <c r="E21" s="38">
        <f t="shared" si="13"/>
        <v>0</v>
      </c>
      <c r="F21" s="26">
        <v>21</v>
      </c>
      <c r="G21" s="26">
        <v>18</v>
      </c>
      <c r="H21" s="26">
        <v>5</v>
      </c>
      <c r="I21" s="5">
        <f t="shared" si="6"/>
        <v>1.89</v>
      </c>
      <c r="J21" s="10">
        <v>0.43</v>
      </c>
      <c r="K21" s="38">
        <f t="shared" si="1"/>
        <v>0</v>
      </c>
      <c r="L21" s="9">
        <f t="shared" si="12"/>
        <v>0</v>
      </c>
      <c r="M21" s="9">
        <f>25</f>
        <v>25</v>
      </c>
      <c r="N21" t="s">
        <v>34</v>
      </c>
      <c r="O21">
        <f>VLOOKUP(N21,вводные!$G$3:$H$122,2,0)</f>
        <v>56.94</v>
      </c>
      <c r="P21" s="38">
        <f t="shared" si="7"/>
        <v>81.94</v>
      </c>
      <c r="Q21" s="9">
        <f t="shared" si="8"/>
        <v>96.94</v>
      </c>
      <c r="R21" s="21">
        <v>29</v>
      </c>
      <c r="S21" s="8">
        <f>VLOOKUP(R21,вводные!$A$2:$B$34,2,0)</f>
        <v>1</v>
      </c>
      <c r="T21" s="21">
        <v>95</v>
      </c>
      <c r="U21" s="23">
        <f t="shared" si="9"/>
        <v>91.354736842105268</v>
      </c>
      <c r="V21" s="10">
        <v>0</v>
      </c>
      <c r="W21" s="40">
        <f t="shared" si="10"/>
        <v>91.354736842105268</v>
      </c>
      <c r="X21" s="10" t="e">
        <f t="shared" si="2"/>
        <v>#DIV/0!</v>
      </c>
      <c r="Y21" s="28">
        <v>0.06</v>
      </c>
      <c r="Z21" s="40">
        <f t="shared" si="3"/>
        <v>0</v>
      </c>
      <c r="AA21" s="13">
        <f t="shared" si="4"/>
        <v>-91.354736842105268</v>
      </c>
      <c r="AB21" s="14" t="e">
        <f t="shared" si="5"/>
        <v>#DIV/0!</v>
      </c>
      <c r="AC21" s="14" t="e">
        <f t="shared" si="11"/>
        <v>#DIV/0!</v>
      </c>
    </row>
    <row r="22" spans="1:29" x14ac:dyDescent="0.25">
      <c r="A22" s="31"/>
      <c r="B22" s="42"/>
      <c r="C22" s="43"/>
      <c r="D22" s="7">
        <v>0</v>
      </c>
      <c r="E22" s="38">
        <f t="shared" si="13"/>
        <v>0</v>
      </c>
      <c r="F22" s="26">
        <v>21</v>
      </c>
      <c r="G22" s="26">
        <v>18</v>
      </c>
      <c r="H22" s="26">
        <v>5</v>
      </c>
      <c r="I22" s="5">
        <f t="shared" si="6"/>
        <v>1.89</v>
      </c>
      <c r="J22" s="10">
        <v>0.43</v>
      </c>
      <c r="K22" s="38">
        <f t="shared" si="1"/>
        <v>0</v>
      </c>
      <c r="L22" s="9">
        <f t="shared" si="12"/>
        <v>0</v>
      </c>
      <c r="M22" s="9">
        <f>25</f>
        <v>25</v>
      </c>
      <c r="N22" t="s">
        <v>34</v>
      </c>
      <c r="O22">
        <f>VLOOKUP(N22,вводные!$G$3:$H$122,2,0)</f>
        <v>56.94</v>
      </c>
      <c r="P22" s="38">
        <f t="shared" si="7"/>
        <v>81.94</v>
      </c>
      <c r="Q22" s="9">
        <f t="shared" si="8"/>
        <v>96.94</v>
      </c>
      <c r="R22" s="21">
        <v>29</v>
      </c>
      <c r="S22" s="8">
        <f>VLOOKUP(R22,вводные!$A$2:$B$34,2,0)</f>
        <v>1</v>
      </c>
      <c r="T22" s="21">
        <v>95</v>
      </c>
      <c r="U22" s="23">
        <f t="shared" si="9"/>
        <v>91.354736842105268</v>
      </c>
      <c r="V22" s="10">
        <v>0</v>
      </c>
      <c r="W22" s="40">
        <f t="shared" si="10"/>
        <v>91.354736842105268</v>
      </c>
      <c r="X22" s="10" t="e">
        <f t="shared" si="2"/>
        <v>#DIV/0!</v>
      </c>
      <c r="Y22" s="28">
        <v>0.06</v>
      </c>
      <c r="Z22" s="40">
        <f t="shared" si="3"/>
        <v>0</v>
      </c>
      <c r="AA22" s="13">
        <f t="shared" si="4"/>
        <v>-91.354736842105268</v>
      </c>
      <c r="AB22" s="14" t="e">
        <f t="shared" si="5"/>
        <v>#DIV/0!</v>
      </c>
      <c r="AC22" s="14" t="e">
        <f t="shared" si="11"/>
        <v>#DIV/0!</v>
      </c>
    </row>
    <row r="23" spans="1:29" x14ac:dyDescent="0.25">
      <c r="A23" s="31"/>
      <c r="B23" s="42"/>
      <c r="C23" s="43"/>
      <c r="D23" s="7">
        <v>0</v>
      </c>
      <c r="E23" s="38">
        <f t="shared" si="13"/>
        <v>0</v>
      </c>
      <c r="F23" s="26">
        <v>21</v>
      </c>
      <c r="G23" s="26">
        <v>18</v>
      </c>
      <c r="H23" s="26">
        <v>5</v>
      </c>
      <c r="I23" s="5">
        <f t="shared" si="6"/>
        <v>1.89</v>
      </c>
      <c r="J23" s="10">
        <v>0.43</v>
      </c>
      <c r="K23" s="38">
        <f t="shared" si="1"/>
        <v>0</v>
      </c>
      <c r="L23" s="9">
        <f t="shared" si="12"/>
        <v>0</v>
      </c>
      <c r="M23" s="9">
        <f>25</f>
        <v>25</v>
      </c>
      <c r="N23" t="s">
        <v>34</v>
      </c>
      <c r="O23">
        <f>VLOOKUP(N23,вводные!$G$3:$H$122,2,0)</f>
        <v>56.94</v>
      </c>
      <c r="P23" s="38">
        <f t="shared" si="7"/>
        <v>81.94</v>
      </c>
      <c r="Q23" s="9">
        <f t="shared" si="8"/>
        <v>96.94</v>
      </c>
      <c r="R23" s="21">
        <v>29</v>
      </c>
      <c r="S23" s="8">
        <f>VLOOKUP(R23,вводные!$A$2:$B$34,2,0)</f>
        <v>1</v>
      </c>
      <c r="T23" s="21">
        <v>95</v>
      </c>
      <c r="U23" s="23">
        <f t="shared" si="9"/>
        <v>91.354736842105268</v>
      </c>
      <c r="V23" s="10">
        <v>0</v>
      </c>
      <c r="W23" s="40">
        <f t="shared" si="10"/>
        <v>91.354736842105268</v>
      </c>
      <c r="X23" s="10" t="e">
        <f t="shared" si="2"/>
        <v>#DIV/0!</v>
      </c>
      <c r="Y23" s="28">
        <v>0.06</v>
      </c>
      <c r="Z23" s="40">
        <f t="shared" si="3"/>
        <v>0</v>
      </c>
      <c r="AA23" s="13">
        <f t="shared" si="4"/>
        <v>-91.354736842105268</v>
      </c>
      <c r="AB23" s="14" t="e">
        <f t="shared" si="5"/>
        <v>#DIV/0!</v>
      </c>
      <c r="AC23" s="14" t="e">
        <f t="shared" si="11"/>
        <v>#DIV/0!</v>
      </c>
    </row>
    <row r="24" spans="1:29" x14ac:dyDescent="0.25">
      <c r="A24" s="31"/>
      <c r="B24" s="42"/>
      <c r="C24" s="43"/>
      <c r="D24" s="7">
        <v>0</v>
      </c>
      <c r="E24" s="38">
        <f t="shared" si="13"/>
        <v>0</v>
      </c>
      <c r="F24" s="26">
        <v>21</v>
      </c>
      <c r="G24" s="26">
        <v>18</v>
      </c>
      <c r="H24" s="26">
        <v>5</v>
      </c>
      <c r="I24" s="5">
        <f t="shared" si="6"/>
        <v>1.89</v>
      </c>
      <c r="J24" s="10">
        <v>0.43</v>
      </c>
      <c r="K24" s="38">
        <f t="shared" si="1"/>
        <v>0</v>
      </c>
      <c r="L24" s="9">
        <f t="shared" si="12"/>
        <v>0</v>
      </c>
      <c r="M24" s="9">
        <f>25</f>
        <v>25</v>
      </c>
      <c r="N24" t="s">
        <v>34</v>
      </c>
      <c r="O24">
        <f>VLOOKUP(N24,вводные!$G$3:$H$122,2,0)</f>
        <v>56.94</v>
      </c>
      <c r="P24" s="38">
        <f t="shared" si="7"/>
        <v>81.94</v>
      </c>
      <c r="Q24" s="9">
        <f t="shared" si="8"/>
        <v>96.94</v>
      </c>
      <c r="R24" s="21">
        <v>29</v>
      </c>
      <c r="S24" s="8">
        <f>VLOOKUP(R24,вводные!$A$2:$B$34,2,0)</f>
        <v>1</v>
      </c>
      <c r="T24" s="21">
        <v>95</v>
      </c>
      <c r="U24" s="23">
        <f t="shared" si="9"/>
        <v>91.354736842105268</v>
      </c>
      <c r="V24" s="10">
        <v>0</v>
      </c>
      <c r="W24" s="40">
        <f t="shared" si="10"/>
        <v>91.354736842105268</v>
      </c>
      <c r="X24" s="10" t="e">
        <f t="shared" si="2"/>
        <v>#DIV/0!</v>
      </c>
      <c r="Y24" s="28">
        <v>0.06</v>
      </c>
      <c r="Z24" s="40">
        <f t="shared" si="3"/>
        <v>0</v>
      </c>
      <c r="AA24" s="13">
        <f t="shared" si="4"/>
        <v>-91.354736842105268</v>
      </c>
      <c r="AB24" s="14" t="e">
        <f t="shared" si="5"/>
        <v>#DIV/0!</v>
      </c>
      <c r="AC24" s="14" t="e">
        <f t="shared" si="11"/>
        <v>#DIV/0!</v>
      </c>
    </row>
    <row r="25" spans="1:29" x14ac:dyDescent="0.25">
      <c r="A25" s="31"/>
      <c r="B25" s="42"/>
      <c r="C25" s="43"/>
      <c r="D25" s="7">
        <v>0</v>
      </c>
      <c r="E25" s="38">
        <f t="shared" si="13"/>
        <v>0</v>
      </c>
      <c r="F25" s="26">
        <v>21</v>
      </c>
      <c r="G25" s="26">
        <v>18</v>
      </c>
      <c r="H25" s="26">
        <v>5</v>
      </c>
      <c r="I25" s="5">
        <f t="shared" si="6"/>
        <v>1.89</v>
      </c>
      <c r="J25" s="10">
        <v>0.43</v>
      </c>
      <c r="K25" s="38">
        <f t="shared" si="1"/>
        <v>0</v>
      </c>
      <c r="L25" s="9">
        <f t="shared" si="12"/>
        <v>0</v>
      </c>
      <c r="M25" s="9">
        <f>25</f>
        <v>25</v>
      </c>
      <c r="N25" t="s">
        <v>34</v>
      </c>
      <c r="O25">
        <f>VLOOKUP(N25,вводные!$G$3:$H$122,2,0)</f>
        <v>56.94</v>
      </c>
      <c r="P25" s="38">
        <f t="shared" si="7"/>
        <v>81.94</v>
      </c>
      <c r="Q25" s="9">
        <f t="shared" si="8"/>
        <v>96.94</v>
      </c>
      <c r="R25" s="21">
        <v>29</v>
      </c>
      <c r="S25" s="8">
        <f>VLOOKUP(R25,вводные!$A$2:$B$34,2,0)</f>
        <v>1</v>
      </c>
      <c r="T25" s="21">
        <v>95</v>
      </c>
      <c r="U25" s="23">
        <f t="shared" si="9"/>
        <v>91.354736842105268</v>
      </c>
      <c r="V25" s="10">
        <v>0</v>
      </c>
      <c r="W25" s="40">
        <f t="shared" si="10"/>
        <v>91.354736842105268</v>
      </c>
      <c r="X25" s="10" t="e">
        <f t="shared" si="2"/>
        <v>#DIV/0!</v>
      </c>
      <c r="Y25" s="28">
        <v>0.06</v>
      </c>
      <c r="Z25" s="40">
        <f t="shared" si="3"/>
        <v>0</v>
      </c>
      <c r="AA25" s="13">
        <f t="shared" si="4"/>
        <v>-91.354736842105268</v>
      </c>
      <c r="AB25" s="14" t="e">
        <f t="shared" si="5"/>
        <v>#DIV/0!</v>
      </c>
      <c r="AC25" s="14" t="e">
        <f t="shared" si="11"/>
        <v>#DIV/0!</v>
      </c>
    </row>
    <row r="26" spans="1:29" x14ac:dyDescent="0.25">
      <c r="A26" s="31"/>
      <c r="B26" s="42"/>
      <c r="C26" s="43"/>
      <c r="D26" s="7">
        <v>0</v>
      </c>
      <c r="E26" s="38">
        <f t="shared" si="13"/>
        <v>0</v>
      </c>
      <c r="F26" s="26">
        <v>21</v>
      </c>
      <c r="G26" s="26">
        <v>18</v>
      </c>
      <c r="H26" s="26">
        <v>5</v>
      </c>
      <c r="I26" s="5">
        <f t="shared" si="6"/>
        <v>1.89</v>
      </c>
      <c r="J26" s="10">
        <v>0.43</v>
      </c>
      <c r="K26" s="38">
        <f t="shared" si="1"/>
        <v>0</v>
      </c>
      <c r="L26" s="9">
        <f t="shared" si="12"/>
        <v>0</v>
      </c>
      <c r="M26" s="9">
        <f>25</f>
        <v>25</v>
      </c>
      <c r="N26" t="s">
        <v>34</v>
      </c>
      <c r="O26">
        <f>VLOOKUP(N26,вводные!$G$3:$H$122,2,0)</f>
        <v>56.94</v>
      </c>
      <c r="P26" s="38">
        <f t="shared" si="7"/>
        <v>81.94</v>
      </c>
      <c r="Q26" s="9">
        <f t="shared" si="8"/>
        <v>96.94</v>
      </c>
      <c r="R26" s="21">
        <v>29</v>
      </c>
      <c r="S26" s="8">
        <f>VLOOKUP(R26,вводные!$A$2:$B$34,2,0)</f>
        <v>1</v>
      </c>
      <c r="T26" s="21">
        <v>95</v>
      </c>
      <c r="U26" s="23">
        <f t="shared" si="9"/>
        <v>91.354736842105268</v>
      </c>
      <c r="V26" s="10">
        <v>0</v>
      </c>
      <c r="W26" s="40">
        <f t="shared" si="10"/>
        <v>91.354736842105268</v>
      </c>
      <c r="X26" s="10" t="e">
        <f t="shared" si="2"/>
        <v>#DIV/0!</v>
      </c>
      <c r="Y26" s="28">
        <v>0.06</v>
      </c>
      <c r="Z26" s="40">
        <f t="shared" si="3"/>
        <v>0</v>
      </c>
      <c r="AA26" s="13">
        <f t="shared" si="4"/>
        <v>-91.354736842105268</v>
      </c>
      <c r="AB26" s="14" t="e">
        <f t="shared" si="5"/>
        <v>#DIV/0!</v>
      </c>
      <c r="AC26" s="14" t="e">
        <f t="shared" si="11"/>
        <v>#DIV/0!</v>
      </c>
    </row>
    <row r="27" spans="1:29" x14ac:dyDescent="0.25">
      <c r="A27" s="31"/>
      <c r="B27" s="42"/>
      <c r="C27" s="43"/>
      <c r="D27" s="7">
        <v>0</v>
      </c>
      <c r="E27" s="38">
        <f t="shared" si="13"/>
        <v>0</v>
      </c>
      <c r="F27" s="26">
        <v>21</v>
      </c>
      <c r="G27" s="26">
        <v>18</v>
      </c>
      <c r="H27" s="26">
        <v>5</v>
      </c>
      <c r="I27" s="5">
        <f t="shared" si="6"/>
        <v>1.89</v>
      </c>
      <c r="J27" s="10">
        <v>0.43</v>
      </c>
      <c r="K27" s="38">
        <f t="shared" si="1"/>
        <v>0</v>
      </c>
      <c r="L27" s="9">
        <f t="shared" si="12"/>
        <v>0</v>
      </c>
      <c r="M27" s="9">
        <f>25</f>
        <v>25</v>
      </c>
      <c r="N27" t="s">
        <v>34</v>
      </c>
      <c r="O27">
        <f>VLOOKUP(N27,вводные!$G$3:$H$122,2,0)</f>
        <v>56.94</v>
      </c>
      <c r="P27" s="38">
        <f t="shared" si="7"/>
        <v>81.94</v>
      </c>
      <c r="Q27" s="9">
        <f t="shared" si="8"/>
        <v>96.94</v>
      </c>
      <c r="R27" s="21">
        <v>29</v>
      </c>
      <c r="S27" s="8">
        <f>VLOOKUP(R27,вводные!$A$2:$B$34,2,0)</f>
        <v>1</v>
      </c>
      <c r="T27" s="21">
        <v>95</v>
      </c>
      <c r="U27" s="23">
        <f t="shared" si="9"/>
        <v>91.354736842105268</v>
      </c>
      <c r="V27" s="10">
        <v>0</v>
      </c>
      <c r="W27" s="40">
        <f t="shared" si="10"/>
        <v>91.354736842105268</v>
      </c>
      <c r="X27" s="10" t="e">
        <f t="shared" si="2"/>
        <v>#DIV/0!</v>
      </c>
      <c r="Y27" s="28">
        <v>0.06</v>
      </c>
      <c r="Z27" s="40">
        <f t="shared" si="3"/>
        <v>0</v>
      </c>
      <c r="AA27" s="13">
        <f t="shared" si="4"/>
        <v>-91.354736842105268</v>
      </c>
      <c r="AB27" s="14" t="e">
        <f t="shared" si="5"/>
        <v>#DIV/0!</v>
      </c>
      <c r="AC27" s="14" t="e">
        <f t="shared" si="11"/>
        <v>#DIV/0!</v>
      </c>
    </row>
    <row r="28" spans="1:29" x14ac:dyDescent="0.25">
      <c r="A28" s="31"/>
      <c r="B28" s="42"/>
      <c r="C28" s="43"/>
      <c r="D28" s="7">
        <v>0</v>
      </c>
      <c r="E28" s="38">
        <f t="shared" si="13"/>
        <v>0</v>
      </c>
      <c r="F28" s="26">
        <v>21</v>
      </c>
      <c r="G28" s="26">
        <v>18</v>
      </c>
      <c r="H28" s="26">
        <v>5</v>
      </c>
      <c r="I28" s="5">
        <f t="shared" si="6"/>
        <v>1.89</v>
      </c>
      <c r="J28" s="10">
        <v>0.43</v>
      </c>
      <c r="K28" s="38">
        <f t="shared" si="1"/>
        <v>0</v>
      </c>
      <c r="L28" s="9">
        <f t="shared" si="12"/>
        <v>0</v>
      </c>
      <c r="M28" s="9">
        <f>25</f>
        <v>25</v>
      </c>
      <c r="N28" t="s">
        <v>34</v>
      </c>
      <c r="O28">
        <f>VLOOKUP(N28,вводные!$G$3:$H$122,2,0)</f>
        <v>56.94</v>
      </c>
      <c r="P28" s="38">
        <f t="shared" si="7"/>
        <v>81.94</v>
      </c>
      <c r="Q28" s="9">
        <f t="shared" si="8"/>
        <v>96.94</v>
      </c>
      <c r="R28" s="21">
        <v>29</v>
      </c>
      <c r="S28" s="8">
        <f>VLOOKUP(R28,вводные!$A$2:$B$34,2,0)</f>
        <v>1</v>
      </c>
      <c r="T28" s="21">
        <v>95</v>
      </c>
      <c r="U28" s="23">
        <f t="shared" si="9"/>
        <v>91.354736842105268</v>
      </c>
      <c r="V28" s="10">
        <v>0</v>
      </c>
      <c r="W28" s="40">
        <f t="shared" si="10"/>
        <v>91.354736842105268</v>
      </c>
      <c r="X28" s="10" t="e">
        <f t="shared" si="2"/>
        <v>#DIV/0!</v>
      </c>
      <c r="Y28" s="28">
        <v>0.06</v>
      </c>
      <c r="Z28" s="40">
        <f t="shared" si="3"/>
        <v>0</v>
      </c>
      <c r="AA28" s="13">
        <f t="shared" si="4"/>
        <v>-91.354736842105268</v>
      </c>
      <c r="AB28" s="14" t="e">
        <f t="shared" si="5"/>
        <v>#DIV/0!</v>
      </c>
      <c r="AC28" s="14" t="e">
        <f t="shared" si="11"/>
        <v>#DIV/0!</v>
      </c>
    </row>
    <row r="29" spans="1:29" x14ac:dyDescent="0.25">
      <c r="A29" s="31"/>
      <c r="B29" s="42"/>
      <c r="C29" s="43"/>
      <c r="D29" s="7">
        <v>0</v>
      </c>
      <c r="E29" s="38">
        <f t="shared" si="13"/>
        <v>0</v>
      </c>
      <c r="F29" s="26">
        <v>21</v>
      </c>
      <c r="G29" s="26">
        <v>18</v>
      </c>
      <c r="H29" s="26">
        <v>5</v>
      </c>
      <c r="I29" s="5">
        <f t="shared" si="6"/>
        <v>1.89</v>
      </c>
      <c r="J29" s="10">
        <v>0.43</v>
      </c>
      <c r="K29" s="38">
        <f t="shared" si="1"/>
        <v>0</v>
      </c>
      <c r="L29" s="9">
        <f t="shared" si="12"/>
        <v>0</v>
      </c>
      <c r="M29" s="9">
        <f>25</f>
        <v>25</v>
      </c>
      <c r="N29" t="s">
        <v>34</v>
      </c>
      <c r="O29">
        <f>VLOOKUP(N29,вводные!$G$3:$H$122,2,0)</f>
        <v>56.94</v>
      </c>
      <c r="P29" s="38">
        <f t="shared" si="7"/>
        <v>81.94</v>
      </c>
      <c r="Q29" s="9">
        <f t="shared" si="8"/>
        <v>96.94</v>
      </c>
      <c r="R29" s="21">
        <v>29</v>
      </c>
      <c r="S29" s="8">
        <f>VLOOKUP(R29,вводные!$A$2:$B$34,2,0)</f>
        <v>1</v>
      </c>
      <c r="T29" s="21">
        <v>95</v>
      </c>
      <c r="U29" s="23">
        <f t="shared" si="9"/>
        <v>91.354736842105268</v>
      </c>
      <c r="V29" s="10">
        <v>0</v>
      </c>
      <c r="W29" s="40">
        <f t="shared" si="10"/>
        <v>91.354736842105268</v>
      </c>
      <c r="X29" s="10" t="e">
        <f t="shared" si="2"/>
        <v>#DIV/0!</v>
      </c>
      <c r="Y29" s="28">
        <v>0.06</v>
      </c>
      <c r="Z29" s="40">
        <f t="shared" si="3"/>
        <v>0</v>
      </c>
      <c r="AA29" s="13">
        <f t="shared" si="4"/>
        <v>-91.354736842105268</v>
      </c>
      <c r="AB29" s="14" t="e">
        <f t="shared" si="5"/>
        <v>#DIV/0!</v>
      </c>
      <c r="AC29" s="14" t="e">
        <f t="shared" si="11"/>
        <v>#DIV/0!</v>
      </c>
    </row>
    <row r="30" spans="1:29" x14ac:dyDescent="0.25">
      <c r="A30" s="32"/>
      <c r="B30" s="42"/>
      <c r="C30" s="43"/>
      <c r="D30" s="7"/>
      <c r="E30" s="38"/>
      <c r="F30" s="26"/>
      <c r="G30" s="26"/>
      <c r="H30" s="26"/>
      <c r="I30" s="5"/>
      <c r="J30" s="10"/>
      <c r="K30" s="9"/>
      <c r="L30" s="9"/>
      <c r="M30" s="9"/>
      <c r="P30" s="9"/>
      <c r="Q30" s="9"/>
      <c r="R30" s="21"/>
      <c r="S30" s="8"/>
      <c r="T30" s="21"/>
      <c r="U30" s="23"/>
      <c r="V30" s="10"/>
      <c r="W30" s="11"/>
      <c r="X30" s="10"/>
      <c r="Y30" s="28"/>
      <c r="Z30" s="12"/>
      <c r="AA30" s="13"/>
      <c r="AB30" s="14"/>
      <c r="AC30" s="14"/>
    </row>
    <row r="31" spans="1:29" x14ac:dyDescent="0.25">
      <c r="A31" s="6"/>
      <c r="B31" s="7"/>
      <c r="C31" s="7"/>
      <c r="D31" s="7"/>
      <c r="E31" s="7"/>
      <c r="F31" s="26"/>
      <c r="G31" s="26"/>
      <c r="H31" s="26"/>
      <c r="I31" s="5"/>
      <c r="J31" s="10"/>
      <c r="K31" s="9"/>
      <c r="L31" s="9"/>
      <c r="M31" s="9"/>
      <c r="P31" s="9"/>
      <c r="Q31" s="9"/>
      <c r="R31" s="21"/>
      <c r="S31" s="8"/>
      <c r="T31" s="21"/>
      <c r="U31" s="23"/>
      <c r="V31" s="10"/>
      <c r="W31" s="11"/>
      <c r="X31" s="10"/>
      <c r="Y31" s="28"/>
      <c r="Z31" s="12"/>
      <c r="AA31" s="13"/>
      <c r="AB31" s="14"/>
      <c r="AC31" s="14"/>
    </row>
    <row r="32" spans="1:29" x14ac:dyDescent="0.25">
      <c r="A32" s="6"/>
      <c r="B32" s="7"/>
      <c r="C32" s="7"/>
      <c r="D32" s="7"/>
      <c r="E32" s="7"/>
      <c r="F32" s="26"/>
      <c r="G32" s="26"/>
      <c r="H32" s="26"/>
      <c r="I32" s="5"/>
      <c r="J32" s="10"/>
      <c r="K32" s="9"/>
      <c r="L32" s="9"/>
      <c r="M32" s="9"/>
      <c r="P32" s="9"/>
      <c r="Q32" s="9"/>
      <c r="R32" s="21"/>
      <c r="S32" s="8"/>
      <c r="T32" s="21"/>
      <c r="U32" s="23"/>
      <c r="V32" s="10"/>
      <c r="W32" s="11"/>
      <c r="X32" s="10"/>
      <c r="Y32" s="28"/>
      <c r="Z32" s="12"/>
      <c r="AA32" s="13"/>
      <c r="AB32" s="14"/>
      <c r="AC32" s="14"/>
    </row>
    <row r="33" spans="1:29" x14ac:dyDescent="0.25">
      <c r="A33" s="6"/>
      <c r="B33" s="7"/>
      <c r="C33" s="7"/>
      <c r="D33" s="7"/>
      <c r="E33" s="7"/>
      <c r="F33" s="26"/>
      <c r="G33" s="26"/>
      <c r="H33" s="26"/>
      <c r="I33" s="5"/>
      <c r="J33" s="10"/>
      <c r="K33" s="9"/>
      <c r="L33" s="9"/>
      <c r="M33" s="9"/>
      <c r="P33" s="9"/>
      <c r="Q33" s="9"/>
      <c r="R33" s="21"/>
      <c r="S33" s="8"/>
      <c r="T33" s="21"/>
      <c r="U33" s="23"/>
      <c r="V33" s="10"/>
      <c r="W33" s="11"/>
      <c r="X33" s="10"/>
      <c r="Y33" s="28"/>
      <c r="Z33" s="12"/>
      <c r="AA33" s="13"/>
      <c r="AB33" s="14"/>
      <c r="AC33" s="14"/>
    </row>
    <row r="34" spans="1:29" x14ac:dyDescent="0.25">
      <c r="A34" s="6"/>
      <c r="B34" s="7"/>
      <c r="C34" s="7"/>
      <c r="D34" s="7"/>
      <c r="E34" s="7"/>
      <c r="F34" s="26"/>
      <c r="G34" s="26"/>
      <c r="H34" s="26"/>
      <c r="I34" s="5"/>
      <c r="J34" s="10"/>
      <c r="K34" s="9"/>
      <c r="L34" s="9"/>
      <c r="M34" s="9"/>
      <c r="P34" s="9"/>
      <c r="Q34" s="9"/>
      <c r="R34" s="21"/>
      <c r="S34" s="8"/>
      <c r="T34" s="21"/>
      <c r="U34" s="23"/>
      <c r="V34" s="10"/>
      <c r="W34" s="11"/>
      <c r="X34" s="10"/>
      <c r="Y34" s="28"/>
      <c r="Z34" s="12"/>
      <c r="AA34" s="13"/>
      <c r="AB34" s="14"/>
      <c r="AC34" s="14"/>
    </row>
    <row r="35" spans="1:29" x14ac:dyDescent="0.25">
      <c r="I35" s="5"/>
      <c r="K35" s="9"/>
      <c r="L35" s="9"/>
      <c r="M35" s="9"/>
      <c r="P35" s="9"/>
      <c r="Q35" s="9"/>
      <c r="S35" s="8"/>
      <c r="U35" s="23"/>
      <c r="W35" s="11"/>
      <c r="X35" s="10"/>
      <c r="Y35" s="1"/>
      <c r="Z35" s="12"/>
      <c r="AA35" s="13"/>
      <c r="AB35" s="14"/>
      <c r="AC35" s="14"/>
    </row>
    <row r="36" spans="1:29" x14ac:dyDescent="0.25">
      <c r="I36" s="5"/>
      <c r="K36" s="9"/>
      <c r="L36" s="9"/>
      <c r="M36" s="9"/>
      <c r="P36" s="9"/>
      <c r="Q36" s="9"/>
      <c r="S36" s="8"/>
      <c r="U36" s="23"/>
      <c r="W36" s="11"/>
      <c r="X36" s="10"/>
      <c r="Y36" s="1"/>
      <c r="Z36" s="12"/>
      <c r="AA36" s="13"/>
      <c r="AB36" s="14"/>
      <c r="AC36" s="14"/>
    </row>
    <row r="37" spans="1:29" x14ac:dyDescent="0.25">
      <c r="I37" s="5"/>
      <c r="K37" s="9"/>
      <c r="L37" s="9"/>
      <c r="M37" s="9"/>
      <c r="P37" s="9"/>
      <c r="Q37" s="9"/>
      <c r="S37" s="8"/>
      <c r="U37" s="23"/>
      <c r="W37" s="11"/>
      <c r="X37" s="10"/>
      <c r="Y37" s="1"/>
      <c r="Z37" s="12"/>
      <c r="AA37" s="13"/>
      <c r="AB37" s="14"/>
      <c r="AC37" s="14"/>
    </row>
    <row r="38" spans="1:29" x14ac:dyDescent="0.25">
      <c r="I38" s="5"/>
      <c r="K38" s="9"/>
      <c r="L38" s="9"/>
      <c r="M38" s="9"/>
      <c r="P38" s="9"/>
      <c r="Q38" s="9"/>
      <c r="S38" s="8"/>
      <c r="U38" s="23"/>
      <c r="W38" s="11"/>
      <c r="X38" s="10"/>
      <c r="Y38" s="1"/>
      <c r="Z38" s="12"/>
      <c r="AA38" s="13"/>
      <c r="AB38" s="14"/>
      <c r="AC38" s="14"/>
    </row>
    <row r="39" spans="1:29" x14ac:dyDescent="0.25">
      <c r="I39" s="5"/>
      <c r="K39" s="9"/>
      <c r="L39" s="9"/>
      <c r="M39" s="9"/>
      <c r="P39" s="9"/>
      <c r="Q39" s="9"/>
      <c r="S39" s="8"/>
      <c r="U39" s="23"/>
      <c r="W39" s="11"/>
      <c r="X39" s="10"/>
      <c r="Y39" s="1"/>
      <c r="Z39" s="12"/>
      <c r="AA39" s="13"/>
      <c r="AB39" s="14"/>
      <c r="AC39" s="14"/>
    </row>
    <row r="40" spans="1:29" x14ac:dyDescent="0.25">
      <c r="I40" s="5"/>
      <c r="K40" s="9"/>
      <c r="L40" s="9"/>
      <c r="M40" s="9"/>
      <c r="P40" s="9"/>
      <c r="Q40" s="9"/>
      <c r="S40" s="8"/>
      <c r="U40" s="23"/>
      <c r="W40" s="11"/>
      <c r="X40" s="10"/>
      <c r="Y40" s="1"/>
      <c r="Z40" s="12"/>
      <c r="AA40" s="13"/>
      <c r="AB40" s="14"/>
      <c r="AC40" s="14"/>
    </row>
    <row r="41" spans="1:29" x14ac:dyDescent="0.25">
      <c r="I41" s="5"/>
      <c r="K41" s="9"/>
      <c r="L41" s="9"/>
      <c r="M41" s="9"/>
      <c r="P41" s="9"/>
      <c r="Q41" s="9"/>
      <c r="S41" s="8"/>
      <c r="U41" s="23"/>
      <c r="W41" s="11"/>
      <c r="X41" s="10"/>
      <c r="Y41" s="1"/>
      <c r="Z41" s="12"/>
      <c r="AA41" s="13"/>
      <c r="AB41" s="14"/>
      <c r="AC41" s="14"/>
    </row>
    <row r="42" spans="1:29" x14ac:dyDescent="0.25">
      <c r="I42" s="5"/>
      <c r="K42" s="9"/>
      <c r="L42" s="9"/>
      <c r="M42" s="9"/>
      <c r="N42" s="9"/>
      <c r="O42" s="9"/>
      <c r="Q42" s="8"/>
      <c r="S42" s="23"/>
      <c r="U42" s="11"/>
      <c r="V42" s="10"/>
      <c r="X42" s="12"/>
      <c r="Y42" s="13"/>
      <c r="Z42" s="14"/>
      <c r="AA42" s="14"/>
      <c r="AC42" s="4"/>
    </row>
    <row r="43" spans="1:29" x14ac:dyDescent="0.25">
      <c r="I43" s="5"/>
      <c r="K43" s="9"/>
      <c r="L43" s="9"/>
      <c r="M43" s="9"/>
      <c r="N43" s="9"/>
      <c r="O43" s="9"/>
      <c r="Q43" s="8"/>
      <c r="S43" s="23"/>
      <c r="U43" s="11"/>
      <c r="V43" s="10"/>
      <c r="X43" s="12"/>
      <c r="Y43" s="13"/>
      <c r="Z43" s="14"/>
      <c r="AA43" s="14"/>
      <c r="AC43" s="4"/>
    </row>
    <row r="44" spans="1:29" x14ac:dyDescent="0.25">
      <c r="I44" s="5"/>
      <c r="K44" s="9"/>
      <c r="L44" s="9"/>
      <c r="M44" s="9"/>
      <c r="N44" s="9"/>
      <c r="O44" s="9"/>
      <c r="Q44" s="8"/>
      <c r="S44" s="23"/>
      <c r="U44" s="11"/>
      <c r="V44" s="10"/>
      <c r="X44" s="12"/>
      <c r="Y44" s="13"/>
      <c r="Z44" s="14"/>
      <c r="AA44" s="14"/>
      <c r="AC44" s="4"/>
    </row>
    <row r="45" spans="1:29" x14ac:dyDescent="0.25">
      <c r="I45" s="5"/>
      <c r="K45" s="9"/>
      <c r="L45" s="9"/>
      <c r="M45" s="9"/>
      <c r="N45" s="9"/>
      <c r="O45" s="9"/>
      <c r="Q45" s="8"/>
      <c r="S45" s="23"/>
      <c r="U45" s="11"/>
      <c r="V45" s="10"/>
      <c r="X45" s="12"/>
      <c r="Y45" s="13"/>
      <c r="Z45" s="14"/>
      <c r="AA45" s="14"/>
      <c r="AC45" s="4"/>
    </row>
    <row r="46" spans="1:29" x14ac:dyDescent="0.25">
      <c r="I46" s="5"/>
      <c r="K46" s="9"/>
      <c r="L46" s="9"/>
      <c r="M46" s="9"/>
      <c r="N46" s="9"/>
      <c r="O46" s="9"/>
      <c r="Q46" s="8"/>
      <c r="S46" s="23"/>
      <c r="U46" s="11"/>
      <c r="V46" s="10"/>
      <c r="X46" s="12"/>
      <c r="Y46" s="13"/>
      <c r="Z46" s="14"/>
      <c r="AA46" s="14"/>
      <c r="AC46" s="4"/>
    </row>
  </sheetData>
  <phoneticPr fontId="8" type="noConversion"/>
  <dataValidations count="1">
    <dataValidation type="list" allowBlank="1" showInputMessage="1" showErrorMessage="1" sqref="R30:R34" xr:uid="{00000000-0002-0000-0000-000000000000}">
      <formula1>ИЛ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F83696-3F20-433E-9763-647991AD1AFE}">
          <x14:formula1>
            <xm:f>вводные!$G$3:$G$122</xm:f>
          </x14:formula1>
          <xm:sqref>N2:N34</xm:sqref>
        </x14:dataValidation>
        <x14:dataValidation type="list" allowBlank="1" showInputMessage="1" showErrorMessage="1" xr:uid="{5BB11072-7FC2-4B99-91EC-B253FAE5B9A5}">
          <x14:formula1>
            <xm:f>вводные!$A$2:$A$34</xm:f>
          </x14:formula1>
          <xm:sqref>R2:R29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302C-C46F-47AB-A223-7397FB6B8AF9}">
  <dimension ref="A1:H122"/>
  <sheetViews>
    <sheetView topLeftCell="A4" workbookViewId="0">
      <selection activeCell="H13" sqref="H13"/>
    </sheetView>
  </sheetViews>
  <sheetFormatPr defaultRowHeight="15" x14ac:dyDescent="0.25"/>
  <cols>
    <col min="1" max="1" width="32.5703125" bestFit="1" customWidth="1"/>
    <col min="2" max="2" width="9.140625" customWidth="1"/>
    <col min="7" max="7" width="10.42578125" bestFit="1" customWidth="1"/>
    <col min="8" max="8" width="10.7109375" bestFit="1" customWidth="1"/>
  </cols>
  <sheetData>
    <row r="1" spans="1:8" ht="100.5" thickBot="1" x14ac:dyDescent="0.3">
      <c r="A1" s="29" t="s">
        <v>23</v>
      </c>
      <c r="B1" s="29" t="s">
        <v>24</v>
      </c>
      <c r="C1" s="29" t="s">
        <v>26</v>
      </c>
      <c r="G1" t="s">
        <v>153</v>
      </c>
    </row>
    <row r="2" spans="1:8" ht="30.75" thickBot="1" x14ac:dyDescent="0.3">
      <c r="A2" s="29">
        <v>29</v>
      </c>
      <c r="B2" s="29">
        <v>1</v>
      </c>
      <c r="C2" s="30">
        <v>0</v>
      </c>
      <c r="G2" s="33" t="s">
        <v>28</v>
      </c>
      <c r="H2" s="33" t="s">
        <v>29</v>
      </c>
    </row>
    <row r="3" spans="1:8" ht="15.75" thickBot="1" x14ac:dyDescent="0.3">
      <c r="A3" s="29">
        <v>30</v>
      </c>
      <c r="B3" s="29">
        <v>1.05</v>
      </c>
      <c r="C3" s="30">
        <v>2.5000000000000001E-3</v>
      </c>
      <c r="G3" s="29" t="s">
        <v>33</v>
      </c>
      <c r="H3" s="29">
        <v>46.77</v>
      </c>
    </row>
    <row r="4" spans="1:8" ht="15.75" thickBot="1" x14ac:dyDescent="0.3">
      <c r="A4" s="29">
        <v>31</v>
      </c>
      <c r="B4" s="29">
        <v>1.1100000000000001</v>
      </c>
      <c r="C4" s="30">
        <v>5.4999999999999997E-3</v>
      </c>
      <c r="G4" s="29" t="s">
        <v>34</v>
      </c>
      <c r="H4" s="34">
        <v>56.94</v>
      </c>
    </row>
    <row r="5" spans="1:8" ht="15.75" thickBot="1" x14ac:dyDescent="0.3">
      <c r="A5" s="29">
        <v>32</v>
      </c>
      <c r="B5" s="29">
        <v>1.1599999999999999</v>
      </c>
      <c r="C5" s="30">
        <v>8.0000000000000002E-3</v>
      </c>
      <c r="G5" s="29" t="s">
        <v>35</v>
      </c>
      <c r="H5" s="29">
        <v>67.11</v>
      </c>
    </row>
    <row r="6" spans="1:8" ht="15.75" thickBot="1" x14ac:dyDescent="0.3">
      <c r="A6" s="29">
        <v>33</v>
      </c>
      <c r="B6" s="29">
        <v>1.23</v>
      </c>
      <c r="C6" s="30">
        <v>1.15E-2</v>
      </c>
      <c r="G6" s="29" t="s">
        <v>36</v>
      </c>
      <c r="H6" s="34">
        <f>H5+15.25</f>
        <v>82.36</v>
      </c>
    </row>
    <row r="7" spans="1:8" ht="15.75" thickBot="1" x14ac:dyDescent="0.3">
      <c r="A7" s="29">
        <v>34</v>
      </c>
      <c r="B7" s="29">
        <v>1.28</v>
      </c>
      <c r="C7" s="30">
        <v>1.4E-2</v>
      </c>
      <c r="G7" s="29" t="s">
        <v>37</v>
      </c>
      <c r="H7" s="34">
        <f t="shared" ref="H7:H70" si="0">H6+15.25</f>
        <v>97.61</v>
      </c>
    </row>
    <row r="8" spans="1:8" ht="15.75" thickBot="1" x14ac:dyDescent="0.3">
      <c r="A8" s="29">
        <v>35</v>
      </c>
      <c r="B8" s="29">
        <v>1.32</v>
      </c>
      <c r="C8" s="30">
        <v>1.6E-2</v>
      </c>
      <c r="G8" s="29" t="s">
        <v>38</v>
      </c>
      <c r="H8" s="34">
        <f t="shared" si="0"/>
        <v>112.86</v>
      </c>
    </row>
    <row r="9" spans="1:8" ht="15.75" thickBot="1" x14ac:dyDescent="0.3">
      <c r="A9" s="29">
        <v>36</v>
      </c>
      <c r="B9" s="29">
        <v>1.36</v>
      </c>
      <c r="C9" s="30">
        <v>1.7999999999999999E-2</v>
      </c>
      <c r="G9" s="29" t="s">
        <v>39</v>
      </c>
      <c r="H9" s="34">
        <f t="shared" si="0"/>
        <v>128.11000000000001</v>
      </c>
    </row>
    <row r="10" spans="1:8" ht="15.75" thickBot="1" x14ac:dyDescent="0.3">
      <c r="A10" s="29">
        <v>37</v>
      </c>
      <c r="B10" s="29">
        <v>1.4</v>
      </c>
      <c r="C10" s="30">
        <v>0.02</v>
      </c>
      <c r="G10" s="29" t="s">
        <v>40</v>
      </c>
      <c r="H10" s="34">
        <f t="shared" si="0"/>
        <v>143.36000000000001</v>
      </c>
    </row>
    <row r="11" spans="1:8" ht="15.75" thickBot="1" x14ac:dyDescent="0.3">
      <c r="A11" s="29">
        <v>38</v>
      </c>
      <c r="B11" s="29">
        <v>1.44</v>
      </c>
      <c r="C11" s="30">
        <v>2.1999999999999999E-2</v>
      </c>
      <c r="G11" s="29" t="s">
        <v>41</v>
      </c>
      <c r="H11" s="34">
        <f t="shared" si="0"/>
        <v>158.61000000000001</v>
      </c>
    </row>
    <row r="12" spans="1:8" ht="15.75" thickBot="1" x14ac:dyDescent="0.3">
      <c r="A12" s="29">
        <v>39</v>
      </c>
      <c r="B12" s="29">
        <v>1.48</v>
      </c>
      <c r="C12" s="30">
        <v>2.4E-2</v>
      </c>
      <c r="G12" s="29" t="s">
        <v>42</v>
      </c>
      <c r="H12" s="34">
        <f t="shared" si="0"/>
        <v>173.86</v>
      </c>
    </row>
    <row r="13" spans="1:8" ht="15.75" thickBot="1" x14ac:dyDescent="0.3">
      <c r="A13" s="29">
        <v>40</v>
      </c>
      <c r="B13" s="29">
        <v>1.51</v>
      </c>
      <c r="C13" s="30">
        <v>2.5499999999999998E-2</v>
      </c>
      <c r="G13" s="29" t="s">
        <v>43</v>
      </c>
      <c r="H13" s="34">
        <f t="shared" si="0"/>
        <v>189.11</v>
      </c>
    </row>
    <row r="14" spans="1:8" ht="15.75" thickBot="1" x14ac:dyDescent="0.3">
      <c r="A14" s="29">
        <v>41</v>
      </c>
      <c r="B14" s="29">
        <v>1.54</v>
      </c>
      <c r="C14" s="30">
        <v>2.7E-2</v>
      </c>
      <c r="G14" s="29" t="s">
        <v>44</v>
      </c>
      <c r="H14" s="34">
        <f t="shared" si="0"/>
        <v>204.36</v>
      </c>
    </row>
    <row r="15" spans="1:8" ht="15.75" thickBot="1" x14ac:dyDescent="0.3">
      <c r="A15" s="29">
        <v>42</v>
      </c>
      <c r="B15" s="29">
        <v>1.57</v>
      </c>
      <c r="C15" s="30">
        <v>2.8500000000000001E-2</v>
      </c>
      <c r="G15" s="29" t="s">
        <v>45</v>
      </c>
      <c r="H15" s="34">
        <f t="shared" si="0"/>
        <v>219.61</v>
      </c>
    </row>
    <row r="16" spans="1:8" ht="15.75" thickBot="1" x14ac:dyDescent="0.3">
      <c r="A16" s="29">
        <v>43</v>
      </c>
      <c r="B16" s="29">
        <v>1.6</v>
      </c>
      <c r="C16" s="30">
        <v>0.03</v>
      </c>
      <c r="G16" s="29" t="s">
        <v>46</v>
      </c>
      <c r="H16" s="34">
        <f t="shared" si="0"/>
        <v>234.86</v>
      </c>
    </row>
    <row r="17" spans="1:8" ht="15.75" thickBot="1" x14ac:dyDescent="0.3">
      <c r="A17" s="29">
        <v>44</v>
      </c>
      <c r="B17" s="29">
        <v>1.63</v>
      </c>
      <c r="C17" s="30">
        <v>3.15E-2</v>
      </c>
      <c r="G17" s="29" t="s">
        <v>47</v>
      </c>
      <c r="H17" s="34">
        <f t="shared" si="0"/>
        <v>250.11</v>
      </c>
    </row>
    <row r="18" spans="1:8" ht="15.75" thickBot="1" x14ac:dyDescent="0.3">
      <c r="A18" s="29">
        <v>45</v>
      </c>
      <c r="B18" s="29">
        <v>1.66</v>
      </c>
      <c r="C18" s="30">
        <v>3.3000000000000002E-2</v>
      </c>
      <c r="G18" s="29" t="s">
        <v>48</v>
      </c>
      <c r="H18" s="34">
        <f t="shared" si="0"/>
        <v>265.36</v>
      </c>
    </row>
    <row r="19" spans="1:8" ht="15.75" thickBot="1" x14ac:dyDescent="0.3">
      <c r="A19" s="29">
        <v>46</v>
      </c>
      <c r="B19" s="29">
        <v>1.69</v>
      </c>
      <c r="C19" s="30">
        <v>3.4500000000000003E-2</v>
      </c>
      <c r="G19" s="29" t="s">
        <v>49</v>
      </c>
      <c r="H19" s="34">
        <f t="shared" si="0"/>
        <v>280.61</v>
      </c>
    </row>
    <row r="20" spans="1:8" ht="15.75" thickBot="1" x14ac:dyDescent="0.3">
      <c r="A20" s="29">
        <v>47</v>
      </c>
      <c r="B20" s="29">
        <v>1.71</v>
      </c>
      <c r="C20" s="30">
        <v>3.5499999999999997E-2</v>
      </c>
      <c r="G20" s="29" t="s">
        <v>50</v>
      </c>
      <c r="H20" s="34">
        <f t="shared" si="0"/>
        <v>295.86</v>
      </c>
    </row>
    <row r="21" spans="1:8" ht="15.75" thickBot="1" x14ac:dyDescent="0.3">
      <c r="A21" s="29">
        <v>48</v>
      </c>
      <c r="B21" s="29">
        <v>1.73</v>
      </c>
      <c r="C21" s="30">
        <v>3.6499999999999998E-2</v>
      </c>
      <c r="G21" s="29" t="s">
        <v>51</v>
      </c>
      <c r="H21" s="34">
        <f t="shared" si="0"/>
        <v>311.11</v>
      </c>
    </row>
    <row r="22" spans="1:8" ht="15.75" thickBot="1" x14ac:dyDescent="0.3">
      <c r="A22" s="29">
        <v>49</v>
      </c>
      <c r="B22" s="29">
        <v>1.75</v>
      </c>
      <c r="C22" s="30">
        <v>3.7499999999999999E-2</v>
      </c>
      <c r="G22" s="29" t="s">
        <v>52</v>
      </c>
      <c r="H22" s="34">
        <f t="shared" si="0"/>
        <v>326.36</v>
      </c>
    </row>
    <row r="23" spans="1:8" ht="15.75" thickBot="1" x14ac:dyDescent="0.3">
      <c r="A23" s="29">
        <v>50</v>
      </c>
      <c r="B23" s="29">
        <v>1.76</v>
      </c>
      <c r="C23" s="30">
        <v>3.7999999999999999E-2</v>
      </c>
      <c r="G23" s="29" t="s">
        <v>53</v>
      </c>
      <c r="H23" s="34">
        <f t="shared" si="0"/>
        <v>341.61</v>
      </c>
    </row>
    <row r="24" spans="1:8" ht="15.75" thickBot="1" x14ac:dyDescent="0.3">
      <c r="A24" s="29">
        <v>51</v>
      </c>
      <c r="B24" s="29">
        <v>1.77</v>
      </c>
      <c r="C24" s="30">
        <v>3.85E-2</v>
      </c>
      <c r="G24" s="29" t="s">
        <v>54</v>
      </c>
      <c r="H24" s="34">
        <f t="shared" si="0"/>
        <v>356.86</v>
      </c>
    </row>
    <row r="25" spans="1:8" ht="15.75" thickBot="1" x14ac:dyDescent="0.3">
      <c r="A25" s="29">
        <v>52</v>
      </c>
      <c r="B25" s="29">
        <v>1.774</v>
      </c>
      <c r="C25" s="30">
        <v>3.8699999999999998E-2</v>
      </c>
      <c r="G25" s="29" t="s">
        <v>55</v>
      </c>
      <c r="H25" s="34">
        <f t="shared" si="0"/>
        <v>372.11</v>
      </c>
    </row>
    <row r="26" spans="1:8" ht="15.75" thickBot="1" x14ac:dyDescent="0.3">
      <c r="A26" s="29">
        <v>53</v>
      </c>
      <c r="B26" s="29">
        <v>1.78</v>
      </c>
      <c r="C26" s="30">
        <v>3.9E-2</v>
      </c>
      <c r="G26" s="29" t="s">
        <v>56</v>
      </c>
      <c r="H26" s="34">
        <f t="shared" si="0"/>
        <v>387.36</v>
      </c>
    </row>
    <row r="27" spans="1:8" ht="15.75" thickBot="1" x14ac:dyDescent="0.3">
      <c r="A27" s="29">
        <v>54</v>
      </c>
      <c r="B27" s="29">
        <v>1.784</v>
      </c>
      <c r="C27" s="30">
        <v>3.9199999999999999E-2</v>
      </c>
      <c r="G27" s="29" t="s">
        <v>57</v>
      </c>
      <c r="H27" s="34">
        <f t="shared" si="0"/>
        <v>402.61</v>
      </c>
    </row>
    <row r="28" spans="1:8" ht="15.75" thickBot="1" x14ac:dyDescent="0.3">
      <c r="A28" s="29">
        <v>55</v>
      </c>
      <c r="B28" s="29">
        <v>1.788</v>
      </c>
      <c r="C28" s="30">
        <v>3.9399999999999998E-2</v>
      </c>
      <c r="G28" s="29" t="s">
        <v>58</v>
      </c>
      <c r="H28" s="34">
        <f t="shared" si="0"/>
        <v>417.86</v>
      </c>
    </row>
    <row r="29" spans="1:8" ht="15.75" thickBot="1" x14ac:dyDescent="0.3">
      <c r="A29" s="29">
        <v>56</v>
      </c>
      <c r="B29" s="29">
        <v>1.79</v>
      </c>
      <c r="C29" s="30">
        <v>3.95E-2</v>
      </c>
      <c r="G29" s="29" t="s">
        <v>59</v>
      </c>
      <c r="H29" s="34">
        <f t="shared" si="0"/>
        <v>433.11</v>
      </c>
    </row>
    <row r="30" spans="1:8" ht="15.75" thickBot="1" x14ac:dyDescent="0.3">
      <c r="A30" s="29">
        <v>57</v>
      </c>
      <c r="B30" s="29">
        <v>1.792</v>
      </c>
      <c r="C30" s="30">
        <v>3.9600000000000003E-2</v>
      </c>
      <c r="G30" s="29" t="s">
        <v>60</v>
      </c>
      <c r="H30" s="34">
        <f t="shared" si="0"/>
        <v>448.36</v>
      </c>
    </row>
    <row r="31" spans="1:8" ht="15.75" thickBot="1" x14ac:dyDescent="0.3">
      <c r="A31" s="29">
        <v>58</v>
      </c>
      <c r="B31" s="29">
        <v>1.794</v>
      </c>
      <c r="C31" s="30">
        <v>3.9699999999999999E-2</v>
      </c>
      <c r="G31" s="29" t="s">
        <v>61</v>
      </c>
      <c r="H31" s="34">
        <f t="shared" si="0"/>
        <v>463.61</v>
      </c>
    </row>
    <row r="32" spans="1:8" ht="15.75" thickBot="1" x14ac:dyDescent="0.3">
      <c r="A32" s="29">
        <v>59</v>
      </c>
      <c r="B32" s="29">
        <v>1.796</v>
      </c>
      <c r="C32" s="30">
        <v>3.9800000000000002E-2</v>
      </c>
      <c r="G32" s="29" t="s">
        <v>62</v>
      </c>
      <c r="H32" s="34">
        <f t="shared" si="0"/>
        <v>478.86</v>
      </c>
    </row>
    <row r="33" spans="1:8" ht="15.75" thickBot="1" x14ac:dyDescent="0.3">
      <c r="A33" s="29">
        <v>60</v>
      </c>
      <c r="B33" s="29">
        <v>1.798</v>
      </c>
      <c r="C33" s="30">
        <v>3.9899999999999998E-2</v>
      </c>
      <c r="G33" s="29" t="s">
        <v>63</v>
      </c>
      <c r="H33" s="34">
        <f t="shared" si="0"/>
        <v>494.11</v>
      </c>
    </row>
    <row r="34" spans="1:8" ht="15.75" thickBot="1" x14ac:dyDescent="0.3">
      <c r="A34" s="29">
        <v>61</v>
      </c>
      <c r="B34" s="29">
        <v>1.8</v>
      </c>
      <c r="C34" s="30">
        <v>0.04</v>
      </c>
      <c r="G34" s="29" t="s">
        <v>64</v>
      </c>
      <c r="H34" s="34">
        <f t="shared" si="0"/>
        <v>509.36</v>
      </c>
    </row>
    <row r="35" spans="1:8" ht="15.75" thickBot="1" x14ac:dyDescent="0.3">
      <c r="G35" s="29" t="s">
        <v>65</v>
      </c>
      <c r="H35" s="34">
        <f t="shared" si="0"/>
        <v>524.61</v>
      </c>
    </row>
    <row r="36" spans="1:8" ht="15.75" thickBot="1" x14ac:dyDescent="0.3">
      <c r="G36" s="29" t="s">
        <v>66</v>
      </c>
      <c r="H36" s="34">
        <f t="shared" si="0"/>
        <v>539.86</v>
      </c>
    </row>
    <row r="37" spans="1:8" ht="15.75" thickBot="1" x14ac:dyDescent="0.3">
      <c r="G37" s="29" t="s">
        <v>67</v>
      </c>
      <c r="H37" s="34">
        <f t="shared" si="0"/>
        <v>555.11</v>
      </c>
    </row>
    <row r="38" spans="1:8" ht="15.75" thickBot="1" x14ac:dyDescent="0.3">
      <c r="G38" s="29" t="s">
        <v>68</v>
      </c>
      <c r="H38" s="34">
        <f t="shared" si="0"/>
        <v>570.36</v>
      </c>
    </row>
    <row r="39" spans="1:8" ht="15.75" thickBot="1" x14ac:dyDescent="0.3">
      <c r="G39" s="29" t="s">
        <v>69</v>
      </c>
      <c r="H39" s="34">
        <f t="shared" si="0"/>
        <v>585.61</v>
      </c>
    </row>
    <row r="40" spans="1:8" ht="15.75" thickBot="1" x14ac:dyDescent="0.3">
      <c r="G40" s="29" t="s">
        <v>70</v>
      </c>
      <c r="H40" s="34">
        <f t="shared" si="0"/>
        <v>600.86</v>
      </c>
    </row>
    <row r="41" spans="1:8" ht="15.75" thickBot="1" x14ac:dyDescent="0.3">
      <c r="G41" s="29" t="s">
        <v>71</v>
      </c>
      <c r="H41" s="34">
        <f t="shared" si="0"/>
        <v>616.11</v>
      </c>
    </row>
    <row r="42" spans="1:8" ht="15.75" thickBot="1" x14ac:dyDescent="0.3">
      <c r="G42" s="29" t="s">
        <v>72</v>
      </c>
      <c r="H42" s="34">
        <f t="shared" si="0"/>
        <v>631.36</v>
      </c>
    </row>
    <row r="43" spans="1:8" ht="15.75" thickBot="1" x14ac:dyDescent="0.3">
      <c r="G43" s="29" t="s">
        <v>73</v>
      </c>
      <c r="H43" s="34">
        <f t="shared" si="0"/>
        <v>646.61</v>
      </c>
    </row>
    <row r="44" spans="1:8" ht="15.75" thickBot="1" x14ac:dyDescent="0.3">
      <c r="G44" s="29" t="s">
        <v>74</v>
      </c>
      <c r="H44" s="34">
        <f t="shared" si="0"/>
        <v>661.86</v>
      </c>
    </row>
    <row r="45" spans="1:8" ht="15.75" thickBot="1" x14ac:dyDescent="0.3">
      <c r="G45" s="29" t="s">
        <v>75</v>
      </c>
      <c r="H45" s="34">
        <f t="shared" si="0"/>
        <v>677.11</v>
      </c>
    </row>
    <row r="46" spans="1:8" ht="15.75" thickBot="1" x14ac:dyDescent="0.3">
      <c r="G46" s="29" t="s">
        <v>76</v>
      </c>
      <c r="H46" s="34">
        <f t="shared" si="0"/>
        <v>692.36</v>
      </c>
    </row>
    <row r="47" spans="1:8" ht="15.75" thickBot="1" x14ac:dyDescent="0.3">
      <c r="G47" s="29" t="s">
        <v>77</v>
      </c>
      <c r="H47" s="34">
        <f t="shared" si="0"/>
        <v>707.61</v>
      </c>
    </row>
    <row r="48" spans="1:8" ht="15.75" thickBot="1" x14ac:dyDescent="0.3">
      <c r="G48" s="29" t="s">
        <v>78</v>
      </c>
      <c r="H48" s="34">
        <f t="shared" si="0"/>
        <v>722.86</v>
      </c>
    </row>
    <row r="49" spans="7:8" ht="15.75" thickBot="1" x14ac:dyDescent="0.3">
      <c r="G49" s="29" t="s">
        <v>79</v>
      </c>
      <c r="H49" s="34">
        <f t="shared" si="0"/>
        <v>738.11</v>
      </c>
    </row>
    <row r="50" spans="7:8" ht="15.75" thickBot="1" x14ac:dyDescent="0.3">
      <c r="G50" s="29" t="s">
        <v>80</v>
      </c>
      <c r="H50" s="34">
        <f t="shared" si="0"/>
        <v>753.36</v>
      </c>
    </row>
    <row r="51" spans="7:8" ht="15.75" thickBot="1" x14ac:dyDescent="0.3">
      <c r="G51" s="29" t="s">
        <v>81</v>
      </c>
      <c r="H51" s="34">
        <f t="shared" si="0"/>
        <v>768.61</v>
      </c>
    </row>
    <row r="52" spans="7:8" ht="15.75" thickBot="1" x14ac:dyDescent="0.3">
      <c r="G52" s="29" t="s">
        <v>82</v>
      </c>
      <c r="H52" s="34">
        <f t="shared" si="0"/>
        <v>783.86</v>
      </c>
    </row>
    <row r="53" spans="7:8" ht="15.75" thickBot="1" x14ac:dyDescent="0.3">
      <c r="G53" s="29" t="s">
        <v>83</v>
      </c>
      <c r="H53" s="34">
        <f t="shared" si="0"/>
        <v>799.11</v>
      </c>
    </row>
    <row r="54" spans="7:8" ht="15.75" thickBot="1" x14ac:dyDescent="0.3">
      <c r="G54" s="29" t="s">
        <v>84</v>
      </c>
      <c r="H54" s="34">
        <f t="shared" si="0"/>
        <v>814.36</v>
      </c>
    </row>
    <row r="55" spans="7:8" ht="15.75" thickBot="1" x14ac:dyDescent="0.3">
      <c r="G55" s="29" t="s">
        <v>85</v>
      </c>
      <c r="H55" s="34">
        <f t="shared" si="0"/>
        <v>829.61</v>
      </c>
    </row>
    <row r="56" spans="7:8" ht="15.75" thickBot="1" x14ac:dyDescent="0.3">
      <c r="G56" s="29" t="s">
        <v>86</v>
      </c>
      <c r="H56" s="34">
        <f t="shared" si="0"/>
        <v>844.86</v>
      </c>
    </row>
    <row r="57" spans="7:8" ht="15.75" thickBot="1" x14ac:dyDescent="0.3">
      <c r="G57" s="29" t="s">
        <v>87</v>
      </c>
      <c r="H57" s="34">
        <f t="shared" si="0"/>
        <v>860.11</v>
      </c>
    </row>
    <row r="58" spans="7:8" ht="15.75" thickBot="1" x14ac:dyDescent="0.3">
      <c r="G58" s="29" t="s">
        <v>88</v>
      </c>
      <c r="H58" s="34">
        <f t="shared" si="0"/>
        <v>875.36</v>
      </c>
    </row>
    <row r="59" spans="7:8" ht="15.75" thickBot="1" x14ac:dyDescent="0.3">
      <c r="G59" s="29" t="s">
        <v>89</v>
      </c>
      <c r="H59" s="34">
        <f t="shared" si="0"/>
        <v>890.61</v>
      </c>
    </row>
    <row r="60" spans="7:8" ht="15.75" thickBot="1" x14ac:dyDescent="0.3">
      <c r="G60" s="29" t="s">
        <v>90</v>
      </c>
      <c r="H60" s="34">
        <f t="shared" si="0"/>
        <v>905.86</v>
      </c>
    </row>
    <row r="61" spans="7:8" ht="15.75" thickBot="1" x14ac:dyDescent="0.3">
      <c r="G61" s="29" t="s">
        <v>91</v>
      </c>
      <c r="H61" s="34">
        <f t="shared" si="0"/>
        <v>921.11</v>
      </c>
    </row>
    <row r="62" spans="7:8" ht="15.75" thickBot="1" x14ac:dyDescent="0.3">
      <c r="G62" s="29" t="s">
        <v>92</v>
      </c>
      <c r="H62" s="34">
        <f t="shared" si="0"/>
        <v>936.36</v>
      </c>
    </row>
    <row r="63" spans="7:8" ht="15.75" thickBot="1" x14ac:dyDescent="0.3">
      <c r="G63" s="29" t="s">
        <v>93</v>
      </c>
      <c r="H63" s="34">
        <f t="shared" si="0"/>
        <v>951.61</v>
      </c>
    </row>
    <row r="64" spans="7:8" ht="15.75" thickBot="1" x14ac:dyDescent="0.3">
      <c r="G64" s="29" t="s">
        <v>94</v>
      </c>
      <c r="H64" s="34">
        <f t="shared" si="0"/>
        <v>966.86</v>
      </c>
    </row>
    <row r="65" spans="7:8" ht="15.75" thickBot="1" x14ac:dyDescent="0.3">
      <c r="G65" s="29" t="s">
        <v>95</v>
      </c>
      <c r="H65" s="34">
        <f t="shared" si="0"/>
        <v>982.11</v>
      </c>
    </row>
    <row r="66" spans="7:8" ht="15.75" thickBot="1" x14ac:dyDescent="0.3">
      <c r="G66" s="29" t="s">
        <v>96</v>
      </c>
      <c r="H66" s="34">
        <f t="shared" si="0"/>
        <v>997.36</v>
      </c>
    </row>
    <row r="67" spans="7:8" ht="15.75" thickBot="1" x14ac:dyDescent="0.3">
      <c r="G67" s="29" t="s">
        <v>97</v>
      </c>
      <c r="H67" s="34">
        <f t="shared" si="0"/>
        <v>1012.61</v>
      </c>
    </row>
    <row r="68" spans="7:8" ht="15.75" thickBot="1" x14ac:dyDescent="0.3">
      <c r="G68" s="29" t="s">
        <v>98</v>
      </c>
      <c r="H68" s="34">
        <f t="shared" si="0"/>
        <v>1027.8600000000001</v>
      </c>
    </row>
    <row r="69" spans="7:8" ht="15.75" thickBot="1" x14ac:dyDescent="0.3">
      <c r="G69" s="29" t="s">
        <v>99</v>
      </c>
      <c r="H69" s="34">
        <f t="shared" si="0"/>
        <v>1043.1100000000001</v>
      </c>
    </row>
    <row r="70" spans="7:8" ht="15.75" thickBot="1" x14ac:dyDescent="0.3">
      <c r="G70" s="29" t="s">
        <v>100</v>
      </c>
      <c r="H70" s="34">
        <f t="shared" si="0"/>
        <v>1058.3600000000001</v>
      </c>
    </row>
    <row r="71" spans="7:8" ht="15.75" thickBot="1" x14ac:dyDescent="0.3">
      <c r="G71" s="29" t="s">
        <v>101</v>
      </c>
      <c r="H71" s="34">
        <f t="shared" ref="H71:H122" si="1">H70+15.25</f>
        <v>1073.6100000000001</v>
      </c>
    </row>
    <row r="72" spans="7:8" ht="15.75" thickBot="1" x14ac:dyDescent="0.3">
      <c r="G72" s="29" t="s">
        <v>102</v>
      </c>
      <c r="H72" s="34">
        <f t="shared" si="1"/>
        <v>1088.8600000000001</v>
      </c>
    </row>
    <row r="73" spans="7:8" ht="15.75" thickBot="1" x14ac:dyDescent="0.3">
      <c r="G73" s="29" t="s">
        <v>103</v>
      </c>
      <c r="H73" s="34">
        <f t="shared" si="1"/>
        <v>1104.1100000000001</v>
      </c>
    </row>
    <row r="74" spans="7:8" ht="15.75" thickBot="1" x14ac:dyDescent="0.3">
      <c r="G74" s="29" t="s">
        <v>104</v>
      </c>
      <c r="H74" s="34">
        <f t="shared" si="1"/>
        <v>1119.3600000000001</v>
      </c>
    </row>
    <row r="75" spans="7:8" ht="15.75" thickBot="1" x14ac:dyDescent="0.3">
      <c r="G75" s="29" t="s">
        <v>105</v>
      </c>
      <c r="H75" s="34">
        <f t="shared" si="1"/>
        <v>1134.6100000000001</v>
      </c>
    </row>
    <row r="76" spans="7:8" ht="15.75" thickBot="1" x14ac:dyDescent="0.3">
      <c r="G76" s="29" t="s">
        <v>106</v>
      </c>
      <c r="H76" s="34">
        <f t="shared" si="1"/>
        <v>1149.8600000000001</v>
      </c>
    </row>
    <row r="77" spans="7:8" ht="15.75" thickBot="1" x14ac:dyDescent="0.3">
      <c r="G77" s="29" t="s">
        <v>107</v>
      </c>
      <c r="H77" s="34">
        <f t="shared" si="1"/>
        <v>1165.1100000000001</v>
      </c>
    </row>
    <row r="78" spans="7:8" ht="15.75" thickBot="1" x14ac:dyDescent="0.3">
      <c r="G78" s="29" t="s">
        <v>108</v>
      </c>
      <c r="H78" s="34">
        <f t="shared" si="1"/>
        <v>1180.3600000000001</v>
      </c>
    </row>
    <row r="79" spans="7:8" ht="15.75" thickBot="1" x14ac:dyDescent="0.3">
      <c r="G79" s="29" t="s">
        <v>109</v>
      </c>
      <c r="H79" s="34">
        <f t="shared" si="1"/>
        <v>1195.6100000000001</v>
      </c>
    </row>
    <row r="80" spans="7:8" ht="15.75" thickBot="1" x14ac:dyDescent="0.3">
      <c r="G80" s="29" t="s">
        <v>110</v>
      </c>
      <c r="H80" s="34">
        <f t="shared" si="1"/>
        <v>1210.8600000000001</v>
      </c>
    </row>
    <row r="81" spans="7:8" ht="15.75" thickBot="1" x14ac:dyDescent="0.3">
      <c r="G81" s="29" t="s">
        <v>111</v>
      </c>
      <c r="H81" s="34">
        <f t="shared" si="1"/>
        <v>1226.1100000000001</v>
      </c>
    </row>
    <row r="82" spans="7:8" ht="15.75" thickBot="1" x14ac:dyDescent="0.3">
      <c r="G82" s="29" t="s">
        <v>112</v>
      </c>
      <c r="H82" s="34">
        <f t="shared" si="1"/>
        <v>1241.3600000000001</v>
      </c>
    </row>
    <row r="83" spans="7:8" ht="15.75" thickBot="1" x14ac:dyDescent="0.3">
      <c r="G83" s="29" t="s">
        <v>113</v>
      </c>
      <c r="H83" s="34">
        <f t="shared" si="1"/>
        <v>1256.6100000000001</v>
      </c>
    </row>
    <row r="84" spans="7:8" ht="15.75" thickBot="1" x14ac:dyDescent="0.3">
      <c r="G84" s="29" t="s">
        <v>114</v>
      </c>
      <c r="H84" s="34">
        <f t="shared" si="1"/>
        <v>1271.8600000000001</v>
      </c>
    </row>
    <row r="85" spans="7:8" ht="15.75" thickBot="1" x14ac:dyDescent="0.3">
      <c r="G85" s="29" t="s">
        <v>115</v>
      </c>
      <c r="H85" s="34">
        <f t="shared" si="1"/>
        <v>1287.1100000000001</v>
      </c>
    </row>
    <row r="86" spans="7:8" ht="15.75" thickBot="1" x14ac:dyDescent="0.3">
      <c r="G86" s="29" t="s">
        <v>116</v>
      </c>
      <c r="H86" s="34">
        <f t="shared" si="1"/>
        <v>1302.3600000000001</v>
      </c>
    </row>
    <row r="87" spans="7:8" ht="15.75" thickBot="1" x14ac:dyDescent="0.3">
      <c r="G87" s="29" t="s">
        <v>117</v>
      </c>
      <c r="H87" s="34">
        <f t="shared" si="1"/>
        <v>1317.6100000000001</v>
      </c>
    </row>
    <row r="88" spans="7:8" ht="15.75" thickBot="1" x14ac:dyDescent="0.3">
      <c r="G88" s="29" t="s">
        <v>118</v>
      </c>
      <c r="H88" s="34">
        <f t="shared" si="1"/>
        <v>1332.8600000000001</v>
      </c>
    </row>
    <row r="89" spans="7:8" ht="15.75" thickBot="1" x14ac:dyDescent="0.3">
      <c r="G89" s="29" t="s">
        <v>119</v>
      </c>
      <c r="H89" s="34">
        <f t="shared" si="1"/>
        <v>1348.1100000000001</v>
      </c>
    </row>
    <row r="90" spans="7:8" ht="15.75" thickBot="1" x14ac:dyDescent="0.3">
      <c r="G90" s="29" t="s">
        <v>120</v>
      </c>
      <c r="H90" s="34">
        <f t="shared" si="1"/>
        <v>1363.3600000000001</v>
      </c>
    </row>
    <row r="91" spans="7:8" ht="15.75" thickBot="1" x14ac:dyDescent="0.3">
      <c r="G91" s="29" t="s">
        <v>121</v>
      </c>
      <c r="H91" s="34">
        <f t="shared" si="1"/>
        <v>1378.6100000000001</v>
      </c>
    </row>
    <row r="92" spans="7:8" ht="15.75" thickBot="1" x14ac:dyDescent="0.3">
      <c r="G92" s="29" t="s">
        <v>122</v>
      </c>
      <c r="H92" s="34">
        <f t="shared" si="1"/>
        <v>1393.8600000000001</v>
      </c>
    </row>
    <row r="93" spans="7:8" ht="15.75" thickBot="1" x14ac:dyDescent="0.3">
      <c r="G93" s="29" t="s">
        <v>123</v>
      </c>
      <c r="H93" s="34">
        <f t="shared" si="1"/>
        <v>1409.1100000000001</v>
      </c>
    </row>
    <row r="94" spans="7:8" ht="15.75" thickBot="1" x14ac:dyDescent="0.3">
      <c r="G94" s="29" t="s">
        <v>124</v>
      </c>
      <c r="H94" s="34">
        <f t="shared" si="1"/>
        <v>1424.3600000000001</v>
      </c>
    </row>
    <row r="95" spans="7:8" ht="15.75" thickBot="1" x14ac:dyDescent="0.3">
      <c r="G95" s="29" t="s">
        <v>125</v>
      </c>
      <c r="H95" s="34">
        <f t="shared" si="1"/>
        <v>1439.6100000000001</v>
      </c>
    </row>
    <row r="96" spans="7:8" ht="15.75" thickBot="1" x14ac:dyDescent="0.3">
      <c r="G96" s="29" t="s">
        <v>126</v>
      </c>
      <c r="H96" s="34">
        <f t="shared" si="1"/>
        <v>1454.8600000000001</v>
      </c>
    </row>
    <row r="97" spans="7:8" ht="15.75" thickBot="1" x14ac:dyDescent="0.3">
      <c r="G97" s="29" t="s">
        <v>127</v>
      </c>
      <c r="H97" s="34">
        <f t="shared" si="1"/>
        <v>1470.1100000000001</v>
      </c>
    </row>
    <row r="98" spans="7:8" ht="15.75" thickBot="1" x14ac:dyDescent="0.3">
      <c r="G98" s="29" t="s">
        <v>128</v>
      </c>
      <c r="H98" s="34">
        <f t="shared" si="1"/>
        <v>1485.3600000000001</v>
      </c>
    </row>
    <row r="99" spans="7:8" ht="15.75" thickBot="1" x14ac:dyDescent="0.3">
      <c r="G99" s="29" t="s">
        <v>129</v>
      </c>
      <c r="H99" s="34">
        <f t="shared" si="1"/>
        <v>1500.6100000000001</v>
      </c>
    </row>
    <row r="100" spans="7:8" ht="15.75" thickBot="1" x14ac:dyDescent="0.3">
      <c r="G100" s="29" t="s">
        <v>130</v>
      </c>
      <c r="H100" s="34">
        <f t="shared" si="1"/>
        <v>1515.8600000000001</v>
      </c>
    </row>
    <row r="101" spans="7:8" ht="15.75" thickBot="1" x14ac:dyDescent="0.3">
      <c r="G101" s="29" t="s">
        <v>131</v>
      </c>
      <c r="H101" s="34">
        <f t="shared" si="1"/>
        <v>1531.1100000000001</v>
      </c>
    </row>
    <row r="102" spans="7:8" ht="15.75" thickBot="1" x14ac:dyDescent="0.3">
      <c r="G102" s="29" t="s">
        <v>132</v>
      </c>
      <c r="H102" s="34">
        <f t="shared" si="1"/>
        <v>1546.3600000000001</v>
      </c>
    </row>
    <row r="103" spans="7:8" ht="15.75" thickBot="1" x14ac:dyDescent="0.3">
      <c r="G103" s="29" t="s">
        <v>133</v>
      </c>
      <c r="H103" s="34">
        <f t="shared" si="1"/>
        <v>1561.6100000000001</v>
      </c>
    </row>
    <row r="104" spans="7:8" ht="15.75" thickBot="1" x14ac:dyDescent="0.3">
      <c r="G104" s="29" t="s">
        <v>134</v>
      </c>
      <c r="H104" s="34">
        <f t="shared" si="1"/>
        <v>1576.8600000000001</v>
      </c>
    </row>
    <row r="105" spans="7:8" ht="15.75" thickBot="1" x14ac:dyDescent="0.3">
      <c r="G105" s="29" t="s">
        <v>135</v>
      </c>
      <c r="H105" s="34">
        <f t="shared" si="1"/>
        <v>1592.1100000000001</v>
      </c>
    </row>
    <row r="106" spans="7:8" ht="15.75" thickBot="1" x14ac:dyDescent="0.3">
      <c r="G106" s="29" t="s">
        <v>136</v>
      </c>
      <c r="H106" s="34">
        <f t="shared" si="1"/>
        <v>1607.3600000000001</v>
      </c>
    </row>
    <row r="107" spans="7:8" ht="15.75" thickBot="1" x14ac:dyDescent="0.3">
      <c r="G107" s="29" t="s">
        <v>137</v>
      </c>
      <c r="H107" s="34">
        <f t="shared" si="1"/>
        <v>1622.6100000000001</v>
      </c>
    </row>
    <row r="108" spans="7:8" ht="15.75" thickBot="1" x14ac:dyDescent="0.3">
      <c r="G108" s="29" t="s">
        <v>138</v>
      </c>
      <c r="H108" s="34">
        <f t="shared" si="1"/>
        <v>1637.8600000000001</v>
      </c>
    </row>
    <row r="109" spans="7:8" ht="15.75" thickBot="1" x14ac:dyDescent="0.3">
      <c r="G109" s="29" t="s">
        <v>139</v>
      </c>
      <c r="H109" s="34">
        <f t="shared" si="1"/>
        <v>1653.1100000000001</v>
      </c>
    </row>
    <row r="110" spans="7:8" ht="15.75" thickBot="1" x14ac:dyDescent="0.3">
      <c r="G110" s="29" t="s">
        <v>140</v>
      </c>
      <c r="H110" s="34">
        <f t="shared" si="1"/>
        <v>1668.3600000000001</v>
      </c>
    </row>
    <row r="111" spans="7:8" ht="15.75" thickBot="1" x14ac:dyDescent="0.3">
      <c r="G111" s="29" t="s">
        <v>141</v>
      </c>
      <c r="H111" s="34">
        <f t="shared" si="1"/>
        <v>1683.6100000000001</v>
      </c>
    </row>
    <row r="112" spans="7:8" ht="15.75" thickBot="1" x14ac:dyDescent="0.3">
      <c r="G112" s="29" t="s">
        <v>142</v>
      </c>
      <c r="H112" s="34">
        <f t="shared" si="1"/>
        <v>1698.8600000000001</v>
      </c>
    </row>
    <row r="113" spans="7:8" ht="15.75" thickBot="1" x14ac:dyDescent="0.3">
      <c r="G113" s="29" t="s">
        <v>143</v>
      </c>
      <c r="H113" s="34">
        <f t="shared" si="1"/>
        <v>1714.1100000000001</v>
      </c>
    </row>
    <row r="114" spans="7:8" ht="15.75" thickBot="1" x14ac:dyDescent="0.3">
      <c r="G114" s="29" t="s">
        <v>144</v>
      </c>
      <c r="H114" s="34">
        <f t="shared" si="1"/>
        <v>1729.3600000000001</v>
      </c>
    </row>
    <row r="115" spans="7:8" ht="15.75" thickBot="1" x14ac:dyDescent="0.3">
      <c r="G115" s="29" t="s">
        <v>145</v>
      </c>
      <c r="H115" s="34">
        <f t="shared" si="1"/>
        <v>1744.6100000000001</v>
      </c>
    </row>
    <row r="116" spans="7:8" ht="15.75" thickBot="1" x14ac:dyDescent="0.3">
      <c r="G116" s="29" t="s">
        <v>146</v>
      </c>
      <c r="H116" s="34">
        <f t="shared" si="1"/>
        <v>1759.8600000000001</v>
      </c>
    </row>
    <row r="117" spans="7:8" ht="15.75" thickBot="1" x14ac:dyDescent="0.3">
      <c r="G117" s="29" t="s">
        <v>147</v>
      </c>
      <c r="H117" s="34">
        <f t="shared" si="1"/>
        <v>1775.1100000000001</v>
      </c>
    </row>
    <row r="118" spans="7:8" ht="15.75" thickBot="1" x14ac:dyDescent="0.3">
      <c r="G118" s="29" t="s">
        <v>148</v>
      </c>
      <c r="H118" s="34">
        <f t="shared" si="1"/>
        <v>1790.3600000000001</v>
      </c>
    </row>
    <row r="119" spans="7:8" ht="15.75" thickBot="1" x14ac:dyDescent="0.3">
      <c r="G119" s="29" t="s">
        <v>149</v>
      </c>
      <c r="H119" s="34">
        <f t="shared" si="1"/>
        <v>1805.6100000000001</v>
      </c>
    </row>
    <row r="120" spans="7:8" ht="15.75" thickBot="1" x14ac:dyDescent="0.3">
      <c r="G120" s="29" t="s">
        <v>150</v>
      </c>
      <c r="H120" s="34">
        <f t="shared" si="1"/>
        <v>1820.8600000000001</v>
      </c>
    </row>
    <row r="121" spans="7:8" ht="15.75" thickBot="1" x14ac:dyDescent="0.3">
      <c r="G121" s="29" t="s">
        <v>151</v>
      </c>
      <c r="H121" s="34">
        <f t="shared" si="1"/>
        <v>1836.1100000000001</v>
      </c>
    </row>
    <row r="122" spans="7:8" ht="15.75" thickBot="1" x14ac:dyDescent="0.3">
      <c r="G122" s="29" t="s">
        <v>152</v>
      </c>
      <c r="H122" s="34">
        <f t="shared" si="1"/>
        <v>1851.3600000000001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вводные</vt:lpstr>
      <vt:lpstr>ИЛ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</dc:creator>
  <cp:lastModifiedBy>Paul</cp:lastModifiedBy>
  <dcterms:created xsi:type="dcterms:W3CDTF">2024-10-07T20:20:31Z</dcterms:created>
  <dcterms:modified xsi:type="dcterms:W3CDTF">2026-02-03T15:43:58Z</dcterms:modified>
</cp:coreProperties>
</file>